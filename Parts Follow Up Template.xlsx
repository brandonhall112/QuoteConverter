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namedSheetViews/namedSheetView1.xml" ContentType="application/vnd.ms-excel.namedsheetviews+xml"/>
  <Override PartName="/xl/tables/table6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always"/>
  <mc:AlternateContent xmlns:mc="http://schemas.openxmlformats.org/markup-compatibility/2006">
    <mc:Choice Requires="x15">
      <x15ac:absPath xmlns:x15ac="http://schemas.microsoft.com/office/spreadsheetml/2010/11/ac" url="https://pearsonpackaging-my.sharepoint.com/personal/bthall_pearsonpkg_com/Documents/Desktop/Parts Follow Up/2026/"/>
    </mc:Choice>
  </mc:AlternateContent>
  <xr:revisionPtr revIDLastSave="775" documentId="8_{E6A18B93-A52F-4313-98CD-AC9D0D730CDE}" xr6:coauthVersionLast="47" xr6:coauthVersionMax="47" xr10:uidLastSave="{365D3E5F-EC0A-4DB9-A6C0-F4D427E10261}"/>
  <workbookProtection workbookAlgorithmName="SHA-512" workbookHashValue="RQsq4yYhj4F/02jKig+fa+F8K6BanCMBwrDc20A4p2C609exuSHfLO7WZykz5jc9VceSmc6Dfwhr6Vmlg24GHw==" workbookSaltValue="b/fpchlDb62rdG8f5eE/5g==" workbookSpinCount="100000" lockStructure="1"/>
  <bookViews>
    <workbookView xWindow="-108" yWindow="-108" windowWidth="23256" windowHeight="13896" tabRatio="685" activeTab="4" xr2:uid="{00000000-000D-0000-FFFF-FFFF00000000}"/>
  </bookViews>
  <sheets>
    <sheet name="Master Allocation" sheetId="1" r:id="rId1"/>
    <sheet name="Tami Knoell" sheetId="2" r:id="rId2"/>
    <sheet name="Brent Schrader" sheetId="3" r:id="rId3"/>
    <sheet name="Eric Simpson" sheetId="4" r:id="rId4"/>
    <sheet name="LuWanna Morris" sheetId="5" r:id="rId5"/>
    <sheet name="Reid Kincaid" sheetId="6" r:id="rId6"/>
    <sheet name="Summary" sheetId="7" r:id="rId7"/>
  </sheets>
  <externalReferences>
    <externalReference r:id="rId8"/>
  </externalReferences>
  <definedNames>
    <definedName name="_Hlk212526893">'Brent Schrader'!$G$35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C51" i="4"/>
  <c r="B2" i="7"/>
  <c r="B3" i="7"/>
  <c r="B4" i="7"/>
  <c r="B5" i="7"/>
  <c r="B6" i="7"/>
  <c r="C72" i="5" l="1"/>
  <c r="D2" i="7" s="1"/>
  <c r="C9" i="6"/>
  <c r="D4" i="7" s="1"/>
  <c r="D5" i="7" l="1"/>
  <c r="C82" i="3"/>
  <c r="D3" i="7" s="1"/>
  <c r="C21" i="2" l="1"/>
  <c r="D6" i="7" s="1"/>
  <c r="H6" i="7"/>
  <c r="H3" i="7"/>
  <c r="H2" i="7"/>
  <c r="H5" i="7"/>
  <c r="G6" i="7" l="1"/>
  <c r="G5" i="7"/>
  <c r="G4" i="7"/>
  <c r="G2" i="7"/>
  <c r="G3" i="7"/>
  <c r="G7" i="7" l="1"/>
  <c r="C15" i="7" s="1"/>
  <c r="F6" i="7" l="1"/>
  <c r="F5" i="7"/>
  <c r="F4" i="7"/>
  <c r="F3" i="7"/>
  <c r="F2" i="7"/>
  <c r="E6" i="7"/>
  <c r="E5" i="7"/>
  <c r="E4" i="7"/>
  <c r="E3" i="7"/>
  <c r="E2" i="7"/>
  <c r="C6" i="7"/>
  <c r="C5" i="7"/>
  <c r="C3" i="7"/>
  <c r="C2" i="7"/>
  <c r="A2" i="1" a="1"/>
  <c r="C13" i="7" s="1"/>
  <c r="A2" i="1" l="1"/>
  <c r="H4" i="7"/>
  <c r="H7" i="7" s="1"/>
  <c r="F7" i="7"/>
  <c r="C12" i="7" s="1"/>
  <c r="E7" i="7"/>
  <c r="D7" i="7"/>
  <c r="D15" i="7" s="1"/>
  <c r="C7" i="7"/>
  <c r="B7" i="7"/>
  <c r="C14" i="7" l="1"/>
  <c r="C10" i="7"/>
  <c r="C11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<sst xmlns="http://schemas.openxmlformats.org/spreadsheetml/2006/main" count="1149" uniqueCount="294">
  <si>
    <t>Quote Number</t>
  </si>
  <si>
    <t>Customer Name</t>
  </si>
  <si>
    <t>Quote Amount</t>
  </si>
  <si>
    <t>Quote Date</t>
  </si>
  <si>
    <t>Assignee</t>
  </si>
  <si>
    <t>Follow Up Date</t>
  </si>
  <si>
    <t>Contact Name</t>
  </si>
  <si>
    <t>Contact Number</t>
  </si>
  <si>
    <t>Actual Order $</t>
  </si>
  <si>
    <t>Won/Lost</t>
  </si>
  <si>
    <t>Won by Follow Up</t>
  </si>
  <si>
    <t>Notes</t>
  </si>
  <si>
    <t>Previous Follow Up Date</t>
  </si>
  <si>
    <t>Cust. Name</t>
  </si>
  <si>
    <t>Quote Entry Date</t>
  </si>
  <si>
    <t>Won by Follow Up?</t>
  </si>
  <si>
    <t>ABF Labs/American Blending &amp; Filling/Visual Pak</t>
  </si>
  <si>
    <t>Tami Knoell</t>
  </si>
  <si>
    <t>none required</t>
  </si>
  <si>
    <t>Jesus Diaz</t>
  </si>
  <si>
    <t>Jesus.Diaz@vpplastics.com</t>
  </si>
  <si>
    <t>Won</t>
  </si>
  <si>
    <t>Customer already proceeded to order SO #426550 01/12, Closed quote as Won 02/20/2026</t>
  </si>
  <si>
    <t>AOCUSA – Amalie Oil</t>
  </si>
  <si>
    <t>Pedro Mendoza</t>
  </si>
  <si>
    <t>pedrom@amalie.com</t>
  </si>
  <si>
    <t> </t>
  </si>
  <si>
    <t>Pending</t>
  </si>
  <si>
    <t>MD Packaging</t>
  </si>
  <si>
    <t>Yaroslav Lesho</t>
  </si>
  <si>
    <t>yaroslav@thetesseragroup.com</t>
  </si>
  <si>
    <t>Quote previously incomplete, Finalized with new quote amount 02/18/2026</t>
  </si>
  <si>
    <t>Motion Industries</t>
  </si>
  <si>
    <t>Stephanie Bogues</t>
  </si>
  <si>
    <t>Stephanie.Bogues@motion.com</t>
  </si>
  <si>
    <t>Customer already proceeded to order SO #426378 01/08, Closed quote as Won 02/20/2026</t>
  </si>
  <si>
    <t>PepsiCo</t>
  </si>
  <si>
    <t>Robert Wright</t>
  </si>
  <si>
    <t>Robert.Wright4@pepsico.com</t>
  </si>
  <si>
    <t>Customer already proceeded to order SO #428853 02/26, Closed quote as Won 02/27/2026</t>
  </si>
  <si>
    <t>Shorr Packaging Corp</t>
  </si>
  <si>
    <t>Gary McPherson</t>
  </si>
  <si>
    <t>parts@shorr.com</t>
  </si>
  <si>
    <t>Customer already proceeded to order SO #427080 01/22 for 2 of 4 items quoted, Closed quote as Won 02/25/2026</t>
  </si>
  <si>
    <t>Alisha Teslow</t>
  </si>
  <si>
    <t>Customer already proceeded to order SO #428854 02/26, Closed quote as Won 02/27/2026</t>
  </si>
  <si>
    <t>United States Gypsum Company</t>
  </si>
  <si>
    <t>Manuel Piza</t>
  </si>
  <si>
    <t>mpiza@usg.com</t>
  </si>
  <si>
    <t>Amazon.com</t>
  </si>
  <si>
    <t>Lili Hall</t>
  </si>
  <si>
    <t>lilihall@amazon.com</t>
  </si>
  <si>
    <t>Quote incomplete, Pending part number verification from customer</t>
  </si>
  <si>
    <t>Cargill</t>
  </si>
  <si>
    <t>David Campbell</t>
  </si>
  <si>
    <t>d_campbell@cargill.com</t>
  </si>
  <si>
    <t>Customer already proceeded to order SO #427856 02/05, Closed quote as Won 02/24/2026</t>
  </si>
  <si>
    <t>George Delallo Company</t>
  </si>
  <si>
    <t>Ron Crofutt</t>
  </si>
  <si>
    <t>rcrofutt3716@gmail.com</t>
  </si>
  <si>
    <t>JBS USA</t>
  </si>
  <si>
    <t xml:space="preserve">Robert Wilson, Mike Solze
</t>
  </si>
  <si>
    <t>Robert.Wilson5@jbssa.com, Mike.Solze@jbssa.com</t>
  </si>
  <si>
    <t>Quote incomplete, Still pending sourcing information from Procurement Team 02/27/2026</t>
  </si>
  <si>
    <t>PLZ Corp/Follmer Dev/Chicago Aerosol</t>
  </si>
  <si>
    <t>Kaleb Fredericks</t>
  </si>
  <si>
    <t>Kaleb.Fredericks@plzcorp.com</t>
  </si>
  <si>
    <t>Perdue Farms</t>
  </si>
  <si>
    <t>Levary Little</t>
  </si>
  <si>
    <t>Levary.Little@perdue.com</t>
  </si>
  <si>
    <t>Pete &amp; Gerry's Organics, LLC</t>
  </si>
  <si>
    <t>Daniel Yawn</t>
  </si>
  <si>
    <t>dyawn@peteandgerrys.com</t>
  </si>
  <si>
    <t>Customer already proceeded to order SO #427754 02/04/2026</t>
  </si>
  <si>
    <t>Sugar Foods Corporation</t>
  </si>
  <si>
    <t>Michael Eskew</t>
  </si>
  <si>
    <t>meskew@sugarfoods.com</t>
  </si>
  <si>
    <t>Total</t>
  </si>
  <si>
    <t>Tyson Foods, Inc. HQ</t>
  </si>
  <si>
    <t>Brent Schrader</t>
  </si>
  <si>
    <t>Edward Krezek</t>
  </si>
  <si>
    <t>won</t>
  </si>
  <si>
    <t>sent email 427571</t>
  </si>
  <si>
    <t>ZXP Technologies</t>
  </si>
  <si>
    <t>Bobby Lawder</t>
  </si>
  <si>
    <t>sent email 2nd email sent</t>
  </si>
  <si>
    <t>ConAgra / Lamb Weston</t>
  </si>
  <si>
    <t>Matthew Hites</t>
  </si>
  <si>
    <t>sent email, 2nd email, should be ordering soon</t>
  </si>
  <si>
    <t>Hormel Foods</t>
  </si>
  <si>
    <t>Blake_Robert_W'</t>
  </si>
  <si>
    <t>sent email , ordered 1 door</t>
  </si>
  <si>
    <t>sent email 427568</t>
  </si>
  <si>
    <t>customer has not ordered yet</t>
  </si>
  <si>
    <t>Mitek Industries, Inc.</t>
  </si>
  <si>
    <t>Mel.Butler@mii.com</t>
  </si>
  <si>
    <t>2nd email</t>
  </si>
  <si>
    <t>Bob Evans</t>
  </si>
  <si>
    <t>jody.cukovecki@bobevansfoods.com</t>
  </si>
  <si>
    <t>Bryan.Sumner@lambweston.com</t>
  </si>
  <si>
    <t>james.richardson@bobevansfarms.com</t>
  </si>
  <si>
    <t>Ecolab</t>
  </si>
  <si>
    <t>matthew.glover@ecolab.com</t>
  </si>
  <si>
    <t>sent email, may order some, killed rsp quote</t>
  </si>
  <si>
    <t>RWS One</t>
  </si>
  <si>
    <t>ryand@umpquadairy.com</t>
  </si>
  <si>
    <t>sent email, checking parts against stock, may order some, closed quote, sent follow up email</t>
  </si>
  <si>
    <t>Bimbo Bakeries</t>
  </si>
  <si>
    <t>Jeffrey.Eaker@grupobimbo.com</t>
  </si>
  <si>
    <t>sent email, 427515</t>
  </si>
  <si>
    <t>Amcor Rigid Plastics</t>
  </si>
  <si>
    <t>National Beef / Iowa Premium</t>
  </si>
  <si>
    <t>Niagara Bottling LLC</t>
  </si>
  <si>
    <t>briabrown@niagarawater.com</t>
  </si>
  <si>
    <t>sent email</t>
  </si>
  <si>
    <t>Ventura Foods</t>
  </si>
  <si>
    <t>Diedra.Henderson@pilgrims.com'</t>
  </si>
  <si>
    <t>Lost cust does not need</t>
  </si>
  <si>
    <t>B Braun Medical</t>
  </si>
  <si>
    <t>steven.daly@bbraunusa.com</t>
  </si>
  <si>
    <t>ronald.crofutt@delallo.com</t>
  </si>
  <si>
    <t>Harmoni Inc dba Uncle Matt's Organic</t>
  </si>
  <si>
    <t>Damien@unclematts.com</t>
  </si>
  <si>
    <t>Silgan Holdings</t>
  </si>
  <si>
    <t>Coca Cola</t>
  </si>
  <si>
    <t>josefsanchez@coca-cola.com</t>
  </si>
  <si>
    <t>High Desert Milk, Inc.</t>
  </si>
  <si>
    <t>jgull@highdesertmilk.com</t>
  </si>
  <si>
    <t>Leprino Foods Company</t>
  </si>
  <si>
    <t>bhulse@leprino.com</t>
  </si>
  <si>
    <t>lost, declined</t>
  </si>
  <si>
    <t>waiting to hear from manager</t>
  </si>
  <si>
    <t>Amcor / Berry Global Group</t>
  </si>
  <si>
    <t>Michelle.Breter@amcor.com</t>
  </si>
  <si>
    <t>Henkel</t>
  </si>
  <si>
    <t>AARON.ZEPEDA@HENKEL.COM</t>
  </si>
  <si>
    <t>Joseph.Alesch@tyson.com</t>
  </si>
  <si>
    <t>Unilever NA HQ</t>
  </si>
  <si>
    <t>Jordan.Baugh@unilever.com</t>
  </si>
  <si>
    <t>waiting for plant manager</t>
  </si>
  <si>
    <t>Matthew.Hites@conagra.com</t>
  </si>
  <si>
    <t>Eric.Coria@lambweston.com</t>
  </si>
  <si>
    <t>paula.patton@motion.com</t>
  </si>
  <si>
    <t>waiting to hear from customer</t>
  </si>
  <si>
    <t>Colgate-Palmolive/Hill's Pet/Red Collar</t>
  </si>
  <si>
    <t>Post Brands / Mom Brands</t>
  </si>
  <si>
    <t>S.C. Johnson &amp; Son</t>
  </si>
  <si>
    <t>Sun Valley Raisins, Inc.</t>
  </si>
  <si>
    <t>Tree Top</t>
  </si>
  <si>
    <t>Cece.Harwood@treetop.com</t>
  </si>
  <si>
    <t>Kenneth.Rihel@amcor.com</t>
  </si>
  <si>
    <t>ADAMA dba Makhteshim Agan of North America</t>
  </si>
  <si>
    <t>Eric Simpson</t>
  </si>
  <si>
    <t>Christopher Pearson &lt;christopher.pearson@adama.com&gt;</t>
  </si>
  <si>
    <t>Already Ordered From the Webstore</t>
  </si>
  <si>
    <t>Alpla</t>
  </si>
  <si>
    <t>Ordered on SO# 428153</t>
  </si>
  <si>
    <t>David.Mccollum@alpla.com</t>
  </si>
  <si>
    <t>Sent Second Request</t>
  </si>
  <si>
    <t>Claycraig@berryglobal.com</t>
  </si>
  <si>
    <t>731-935-1395</t>
  </si>
  <si>
    <t>Ordered on SO# 427649</t>
  </si>
  <si>
    <t>Aspire Bakeries</t>
  </si>
  <si>
    <t>Gary Marchetti</t>
  </si>
  <si>
    <t>Ordered on SO# 428222</t>
  </si>
  <si>
    <t>Burlington Coat Factory</t>
  </si>
  <si>
    <t>Jasminne Sanchez</t>
  </si>
  <si>
    <t>Church &amp; Dwight</t>
  </si>
  <si>
    <t>Justin Lang</t>
  </si>
  <si>
    <t>Ordered on SO# 427619</t>
  </si>
  <si>
    <t>Country Pure Foods/Silver Springs Citrus</t>
  </si>
  <si>
    <t>Kyle Valentin</t>
  </si>
  <si>
    <t>Ordered on SO# 428234</t>
  </si>
  <si>
    <t>Furmano Foods</t>
  </si>
  <si>
    <t>Scott Fox</t>
  </si>
  <si>
    <t>Ordered on SO# 428154</t>
  </si>
  <si>
    <t>Gallo Glass / E&amp;J Gallo Winery / G3 Enterprises</t>
  </si>
  <si>
    <t>MARTY SHEEK</t>
  </si>
  <si>
    <t>Lost</t>
  </si>
  <si>
    <t>Quote closed</t>
  </si>
  <si>
    <t>Jeffery Keeley</t>
  </si>
  <si>
    <t>Ordered on SO# 428178</t>
  </si>
  <si>
    <t>Ken's Foods, LLC</t>
  </si>
  <si>
    <t>Ordered on SO# 428179</t>
  </si>
  <si>
    <t>Ocean Spray Cranberries</t>
  </si>
  <si>
    <t>Jeff Bortz</t>
  </si>
  <si>
    <t>Ordered on SO# 428274</t>
  </si>
  <si>
    <t>Ryder Integrated Logistics / former Tech Packaging</t>
  </si>
  <si>
    <t>Closed Quote</t>
  </si>
  <si>
    <t>Renee Frederick</t>
  </si>
  <si>
    <t>Ordered on SO# 428208</t>
  </si>
  <si>
    <t>Ordered on SO# 428213</t>
  </si>
  <si>
    <t>Justina Robbins</t>
  </si>
  <si>
    <t>Spears Manufacturing Company</t>
  </si>
  <si>
    <t>Ernie Garcia</t>
  </si>
  <si>
    <t>Ordered on SO# 306674</t>
  </si>
  <si>
    <t>Sustainable Beef LLC</t>
  </si>
  <si>
    <t>Billy Fisk</t>
  </si>
  <si>
    <t>Ordered on SO# 428419</t>
  </si>
  <si>
    <t>Jacob Brainard</t>
  </si>
  <si>
    <t>Ordered on multiple POs</t>
  </si>
  <si>
    <t>K Chafee</t>
  </si>
  <si>
    <t>David McCollum</t>
  </si>
  <si>
    <t>Ordered on SO# 428361</t>
  </si>
  <si>
    <t>Clay Craig</t>
  </si>
  <si>
    <t>Sent a second request</t>
  </si>
  <si>
    <t>Ordered cancelled</t>
  </si>
  <si>
    <t>Amanda Glover</t>
  </si>
  <si>
    <t>Order Cancelled</t>
  </si>
  <si>
    <t>Ordered on PO 874-1518957</t>
  </si>
  <si>
    <t>Ordered on SO# 428295</t>
  </si>
  <si>
    <t>Customer said they will be talking about this on Thursday</t>
  </si>
  <si>
    <t>Darryl Overstreet</t>
  </si>
  <si>
    <t>Lauren Breeden</t>
  </si>
  <si>
    <t>(817) 847-3141x4349</t>
  </si>
  <si>
    <t>TJ Maxx</t>
  </si>
  <si>
    <t>Allison Gish</t>
  </si>
  <si>
    <t>LuWanna Morris</t>
  </si>
  <si>
    <t>Mick Henry</t>
  </si>
  <si>
    <t>lost</t>
  </si>
  <si>
    <t>sent reminder/ close no response</t>
  </si>
  <si>
    <t>Central Valley Meat Co./ Harris Ranch Beef Co.</t>
  </si>
  <si>
    <t>close no response</t>
  </si>
  <si>
    <t>Kenosha Beef</t>
  </si>
  <si>
    <t>Ardagh Group</t>
  </si>
  <si>
    <t>Brandon Sewell</t>
  </si>
  <si>
    <t>sent reminder/ 428308</t>
  </si>
  <si>
    <t>AB Foods aka Washington Beef/True West</t>
  </si>
  <si>
    <t>Alphasite Inc.</t>
  </si>
  <si>
    <t>Archer Daniels Mid/Stratas Foods/Wild Flavors</t>
  </si>
  <si>
    <t>Arkansas Glass Container</t>
  </si>
  <si>
    <t>Baldwin Richardson Foods</t>
  </si>
  <si>
    <t>Basic American Foods</t>
  </si>
  <si>
    <t>Full Sail Brewing</t>
  </si>
  <si>
    <t>General Mills, Inc.</t>
  </si>
  <si>
    <t>Hamrick Manufacturing</t>
  </si>
  <si>
    <t>RSP</t>
  </si>
  <si>
    <t>Kraft Heinz Company</t>
  </si>
  <si>
    <t>Lagunitas Brewing Co</t>
  </si>
  <si>
    <t>Midland Paper Co.</t>
  </si>
  <si>
    <t>Neil Jones Food Company dba Toma Tek</t>
  </si>
  <si>
    <t>waiting for procurement</t>
  </si>
  <si>
    <t>SoJo Industries</t>
  </si>
  <si>
    <t>Sonoco Products Co</t>
  </si>
  <si>
    <t>Ste. Michelle Wine Estates / Columbia Crest Winery</t>
  </si>
  <si>
    <t>Tailored Chemical Products</t>
  </si>
  <si>
    <t>Vallen/Hagemeyer</t>
  </si>
  <si>
    <t>Ross Stores, Inc.</t>
  </si>
  <si>
    <t>Bell-Carter</t>
  </si>
  <si>
    <t>BlueTriton Brands Inc.</t>
  </si>
  <si>
    <t>Chewy Inc</t>
  </si>
  <si>
    <t>Cole Papers</t>
  </si>
  <si>
    <t>DFA/Dean/Kemps/DairyMaid/Cumberland/Oak Farms/Frie</t>
  </si>
  <si>
    <t>DXP Enterprises</t>
  </si>
  <si>
    <t>Diageo Americas Supply</t>
  </si>
  <si>
    <t>FGF LLC</t>
  </si>
  <si>
    <t>Golden Alaska Seafoods, LLC</t>
  </si>
  <si>
    <t>I. Rice &amp; Co, Inc</t>
  </si>
  <si>
    <t>KDC/One/Zobele/Northern Labs/Aerofil/Tri Tech</t>
  </si>
  <si>
    <t>Kagome Foods Inc.</t>
  </si>
  <si>
    <t>Keurig Dr Pepper</t>
  </si>
  <si>
    <t>Kruger Foods</t>
  </si>
  <si>
    <t>Malco Products, Inc.</t>
  </si>
  <si>
    <t>Michael Foods, Inc.</t>
  </si>
  <si>
    <t>Nelson Packaging Company, Inc.</t>
  </si>
  <si>
    <t>Ornua Ingredients (Thiel Cheese)</t>
  </si>
  <si>
    <t>Pacific Southwest Container</t>
  </si>
  <si>
    <t>Processors Inc./Guidry's Catfish</t>
  </si>
  <si>
    <t>SW Brewing / Tilray Beer / American Bev</t>
  </si>
  <si>
    <t>Sage Products/Strykiso</t>
  </si>
  <si>
    <t>Sage V Foods</t>
  </si>
  <si>
    <t>Star Kay White</t>
  </si>
  <si>
    <t>Treehouse California Almonds, LLC</t>
  </si>
  <si>
    <t>Henggeler Packing Company, Inc.</t>
  </si>
  <si>
    <t>Reid Kincaid</t>
  </si>
  <si>
    <t>Kari-Out Company</t>
  </si>
  <si>
    <t xml:space="preserve">Gabriela Quinde &lt;gquinde@kariout.com&gt; </t>
  </si>
  <si>
    <t>Logoplaste USA</t>
  </si>
  <si>
    <t>levary.little@perdue.com</t>
  </si>
  <si>
    <t>Primary Sales Rep</t>
  </si>
  <si>
    <t>Quotes (#)</t>
  </si>
  <si>
    <t>Customers (#)</t>
  </si>
  <si>
    <t>Total Potential $</t>
  </si>
  <si>
    <t>Avg $/Quote</t>
  </si>
  <si>
    <t>Amount Recoverd $</t>
  </si>
  <si>
    <t>Amount by Follow Up Only</t>
  </si>
  <si>
    <t>Contacts Made</t>
  </si>
  <si>
    <t>Totals</t>
  </si>
  <si>
    <t>Total Quotes Won</t>
  </si>
  <si>
    <t>% Quotes Won</t>
  </si>
  <si>
    <t>Total Revenue Confirmed</t>
  </si>
  <si>
    <t>Total Converted w/ FU</t>
  </si>
  <si>
    <t>% Quotes Won w/ FU</t>
  </si>
  <si>
    <t>Total by Follow Up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</si>
</sst>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\(000\)\ 000\-0000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ptos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2"/>
      <color rgb="FF646464"/>
      <name val="Arial"/>
      <family val="2"/>
      <charset val="1"/>
    </font>
    <font>
      <sz val="11"/>
      <color rgb="FF000000"/>
      <name val="Aptos"/>
      <family val="2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333333"/>
      <name val="Arial"/>
      <family val="2"/>
      <charset val="1"/>
    </font>
    <font>
      <sz val="11"/>
      <color rgb="FF242424"/>
      <name val="Aptos Narrow"/>
      <family val="2"/>
    </font>
    <font>
      <sz val="11"/>
      <color theme="1"/>
      <name val="Calibri"/>
      <charset val="1"/>
    </font>
    <font>
      <sz val="11"/>
      <color rgb="FF000000"/>
      <name val="Calibri"/>
    </font>
    <font>
      <u/>
      <sz val="11"/>
      <color rgb="FF0563C1"/>
      <name val="Calibri"/>
      <family val="2"/>
    </font>
    <font>
      <u/>
      <sz val="11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20">
    <xf numFmtId="0" fontId="0" fillId="0" borderId="0" xfId="0"/>
    <xf numFmtId="44" fontId="0" fillId="0" borderId="0" xfId="2" applyFont="1"/>
    <xf numFmtId="164" fontId="0" fillId="0" borderId="0" xfId="2" applyNumberFormat="1" applyFont="1"/>
    <xf numFmtId="14" fontId="0" fillId="0" borderId="0" xfId="0" applyNumberFormat="1"/>
    <xf numFmtId="0" fontId="0" fillId="2" borderId="0" xfId="0" applyFill="1"/>
    <xf numFmtId="164" fontId="0" fillId="2" borderId="0" xfId="2" applyNumberFormat="1" applyFont="1" applyFill="1"/>
    <xf numFmtId="165" fontId="0" fillId="0" borderId="0" xfId="0" applyNumberFormat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top"/>
    </xf>
    <xf numFmtId="44" fontId="4" fillId="0" borderId="1" xfId="2" applyFont="1" applyBorder="1" applyAlignment="1">
      <alignment horizontal="center" vertical="top"/>
    </xf>
    <xf numFmtId="166" fontId="0" fillId="0" borderId="0" xfId="1" applyNumberFormat="1" applyFont="1"/>
    <xf numFmtId="0" fontId="3" fillId="0" borderId="0" xfId="0" applyFont="1"/>
    <xf numFmtId="44" fontId="3" fillId="0" borderId="0" xfId="2" applyFont="1"/>
    <xf numFmtId="1" fontId="3" fillId="0" borderId="0" xfId="2" applyNumberFormat="1" applyFont="1"/>
    <xf numFmtId="10" fontId="0" fillId="0" borderId="0" xfId="3" applyNumberFormat="1" applyFont="1"/>
    <xf numFmtId="4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49" fontId="0" fillId="2" borderId="0" xfId="0" applyNumberFormat="1" applyFill="1"/>
    <xf numFmtId="49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2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horizontal="center"/>
    </xf>
    <xf numFmtId="9" fontId="0" fillId="0" borderId="0" xfId="3" applyFont="1"/>
    <xf numFmtId="0" fontId="2" fillId="0" borderId="0" xfId="0" applyFont="1"/>
    <xf numFmtId="0" fontId="2" fillId="0" borderId="2" xfId="0" applyFont="1" applyBorder="1"/>
    <xf numFmtId="1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/>
    <xf numFmtId="164" fontId="2" fillId="0" borderId="2" xfId="2" applyNumberFormat="1" applyFont="1" applyFill="1" applyBorder="1"/>
    <xf numFmtId="49" fontId="2" fillId="0" borderId="2" xfId="0" applyNumberFormat="1" applyFont="1" applyBorder="1"/>
    <xf numFmtId="0" fontId="2" fillId="0" borderId="3" xfId="0" applyFont="1" applyBorder="1" applyAlignment="1">
      <alignment horizontal="center"/>
    </xf>
    <xf numFmtId="164" fontId="0" fillId="0" borderId="0" xfId="0" applyNumberFormat="1"/>
    <xf numFmtId="164" fontId="0" fillId="0" borderId="0" xfId="2" applyNumberFormat="1" applyFont="1" applyFill="1"/>
    <xf numFmtId="1" fontId="0" fillId="0" borderId="0" xfId="0" applyNumberFormat="1"/>
    <xf numFmtId="1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2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0" xfId="0" quotePrefix="1" applyFont="1"/>
    <xf numFmtId="0" fontId="11" fillId="3" borderId="0" xfId="0" applyFont="1" applyFill="1"/>
    <xf numFmtId="0" fontId="11" fillId="4" borderId="0" xfId="0" applyFont="1" applyFill="1"/>
    <xf numFmtId="165" fontId="5" fillId="0" borderId="0" xfId="0" applyNumberFormat="1" applyFont="1"/>
    <xf numFmtId="0" fontId="12" fillId="0" borderId="0" xfId="0" applyFont="1"/>
    <xf numFmtId="44" fontId="0" fillId="0" borderId="0" xfId="2" applyFont="1" applyAlignment="1">
      <alignment horizontal="center"/>
    </xf>
    <xf numFmtId="44" fontId="2" fillId="0" borderId="2" xfId="2" applyFont="1" applyFill="1" applyBorder="1"/>
    <xf numFmtId="0" fontId="7" fillId="0" borderId="0" xfId="0" quotePrefix="1" applyFont="1"/>
    <xf numFmtId="4" fontId="0" fillId="0" borderId="0" xfId="0" applyNumberFormat="1"/>
    <xf numFmtId="0" fontId="7" fillId="0" borderId="0" xfId="0" applyFont="1"/>
    <xf numFmtId="14" fontId="0" fillId="0" borderId="4" xfId="0" applyNumberFormat="1" applyBorder="1" applyAlignment="1">
      <alignment horizontal="center"/>
    </xf>
    <xf numFmtId="165" fontId="0" fillId="0" borderId="4" xfId="0" applyNumberFormat="1" applyBorder="1"/>
    <xf numFmtId="164" fontId="0" fillId="0" borderId="4" xfId="2" applyNumberFormat="1" applyFont="1" applyFill="1" applyBorder="1"/>
    <xf numFmtId="49" fontId="0" fillId="0" borderId="5" xfId="0" applyNumberFormat="1" applyBorder="1"/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10" fillId="0" borderId="0" xfId="4"/>
    <xf numFmtId="0" fontId="10" fillId="0" borderId="0" xfId="4" quotePrefix="1"/>
    <xf numFmtId="0" fontId="14" fillId="0" borderId="0" xfId="0" applyFont="1"/>
    <xf numFmtId="0" fontId="0" fillId="0" borderId="0" xfId="0" applyAlignment="1">
      <alignment horizontal="left" wrapText="1"/>
    </xf>
    <xf numFmtId="44" fontId="0" fillId="0" borderId="0" xfId="2" applyFont="1" applyAlignment="1">
      <alignment wrapText="1"/>
    </xf>
    <xf numFmtId="0" fontId="15" fillId="4" borderId="0" xfId="0" applyFont="1" applyFill="1"/>
    <xf numFmtId="0" fontId="15" fillId="3" borderId="0" xfId="0" applyFont="1" applyFill="1"/>
    <xf numFmtId="16" fontId="0" fillId="0" borderId="0" xfId="0" applyNumberFormat="1"/>
    <xf numFmtId="0" fontId="0" fillId="5" borderId="6" xfId="0" applyFill="1" applyBorder="1"/>
    <xf numFmtId="0" fontId="0" fillId="5" borderId="7" xfId="0" applyFill="1" applyBorder="1"/>
    <xf numFmtId="44" fontId="0" fillId="5" borderId="7" xfId="0" applyNumberFormat="1" applyFill="1" applyBorder="1"/>
    <xf numFmtId="14" fontId="0" fillId="5" borderId="7" xfId="0" applyNumberFormat="1" applyFill="1" applyBorder="1" applyAlignment="1">
      <alignment horizontal="center"/>
    </xf>
    <xf numFmtId="14" fontId="0" fillId="5" borderId="7" xfId="0" applyNumberFormat="1" applyFill="1" applyBorder="1"/>
    <xf numFmtId="4" fontId="0" fillId="5" borderId="7" xfId="0" applyNumberFormat="1" applyFill="1" applyBorder="1"/>
    <xf numFmtId="0" fontId="0" fillId="5" borderId="7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5" borderId="8" xfId="0" applyNumberFormat="1" applyFill="1" applyBorder="1"/>
    <xf numFmtId="0" fontId="0" fillId="6" borderId="6" xfId="0" applyFill="1" applyBorder="1"/>
    <xf numFmtId="0" fontId="0" fillId="6" borderId="7" xfId="0" applyFill="1" applyBorder="1"/>
    <xf numFmtId="44" fontId="0" fillId="6" borderId="7" xfId="0" applyNumberFormat="1" applyFill="1" applyBorder="1"/>
    <xf numFmtId="14" fontId="0" fillId="6" borderId="7" xfId="0" applyNumberFormat="1" applyFill="1" applyBorder="1" applyAlignment="1">
      <alignment horizontal="center"/>
    </xf>
    <xf numFmtId="14" fontId="0" fillId="6" borderId="7" xfId="0" applyNumberFormat="1" applyFill="1" applyBorder="1"/>
    <xf numFmtId="4" fontId="0" fillId="6" borderId="7" xfId="0" applyNumberFormat="1" applyFill="1" applyBorder="1"/>
    <xf numFmtId="0" fontId="0" fillId="6" borderId="7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6" borderId="8" xfId="0" applyNumberFormat="1" applyFill="1" applyBorder="1"/>
    <xf numFmtId="0" fontId="0" fillId="6" borderId="7" xfId="0" applyFill="1" applyBorder="1" applyAlignment="1">
      <alignment horizontal="center"/>
    </xf>
    <xf numFmtId="165" fontId="0" fillId="6" borderId="7" xfId="0" applyNumberFormat="1" applyFill="1" applyBorder="1" applyAlignment="1">
      <alignment horizontal="center"/>
    </xf>
    <xf numFmtId="164" fontId="0" fillId="6" borderId="7" xfId="2" applyNumberFormat="1" applyFont="1" applyFill="1" applyBorder="1"/>
    <xf numFmtId="49" fontId="0" fillId="6" borderId="7" xfId="0" applyNumberFormat="1" applyFill="1" applyBorder="1"/>
    <xf numFmtId="14" fontId="0" fillId="6" borderId="8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65" fontId="0" fillId="5" borderId="7" xfId="0" applyNumberFormat="1" applyFill="1" applyBorder="1" applyAlignment="1">
      <alignment horizontal="center"/>
    </xf>
    <xf numFmtId="164" fontId="0" fillId="5" borderId="7" xfId="2" applyNumberFormat="1" applyFont="1" applyFill="1" applyBorder="1"/>
    <xf numFmtId="49" fontId="0" fillId="5" borderId="7" xfId="0" applyNumberFormat="1" applyFill="1" applyBorder="1"/>
    <xf numFmtId="14" fontId="0" fillId="5" borderId="8" xfId="0" applyNumberForma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13" fillId="6" borderId="7" xfId="0" applyFont="1" applyFill="1" applyBorder="1"/>
    <xf numFmtId="165" fontId="0" fillId="5" borderId="7" xfId="0" applyNumberFormat="1" applyFill="1" applyBorder="1"/>
    <xf numFmtId="0" fontId="0" fillId="5" borderId="8" xfId="0" applyFill="1" applyBorder="1"/>
    <xf numFmtId="0" fontId="0" fillId="6" borderId="8" xfId="0" applyFill="1" applyBorder="1"/>
    <xf numFmtId="0" fontId="10" fillId="4" borderId="0" xfId="4" applyFill="1" applyBorder="1" applyAlignment="1"/>
    <xf numFmtId="4" fontId="11" fillId="4" borderId="0" xfId="0" applyNumberFormat="1" applyFont="1" applyFill="1"/>
    <xf numFmtId="14" fontId="11" fillId="3" borderId="0" xfId="0" applyNumberFormat="1" applyFont="1" applyFill="1"/>
    <xf numFmtId="0" fontId="10" fillId="3" borderId="0" xfId="4" applyFill="1" applyBorder="1" applyAlignment="1"/>
    <xf numFmtId="0" fontId="16" fillId="4" borderId="0" xfId="0" applyFont="1" applyFill="1"/>
    <xf numFmtId="4" fontId="11" fillId="3" borderId="0" xfId="0" applyNumberFormat="1" applyFont="1" applyFill="1"/>
    <xf numFmtId="14" fontId="11" fillId="4" borderId="0" xfId="0" applyNumberFormat="1" applyFont="1" applyFill="1"/>
    <xf numFmtId="0" fontId="17" fillId="4" borderId="0" xfId="0" applyFont="1" applyFill="1"/>
    <xf numFmtId="0" fontId="16" fillId="3" borderId="0" xfId="0" applyFont="1" applyFill="1"/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63"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(000\)\ 000\-0000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m/d/yyyy"/>
      <alignment horizontal="center" vertical="bottom" textRotation="0" wrapText="0" indent="0" justifyLastLine="0" shrinkToFit="0" readingOrder="0"/>
    </dxf>
    <dxf>
      <numFmt numFmtId="30" formatCode="@"/>
    </dxf>
    <dxf>
      <numFmt numFmtId="164" formatCode="_(&quot;$&quot;* #,##0_);_(&quot;$&quot;* \(#,##0\);_(&quot;$&quot;* &quot;-&quot;??_);_(@_)"/>
    </dxf>
    <dxf>
      <numFmt numFmtId="165" formatCode="\(000\)\ 000\-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alignment horizontal="center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vertical="bottom" textRotation="0" wrapText="1" indent="0" justifyLastLine="0" shrinkToFit="0" readingOrder="0"/>
    </dxf>
    <dxf>
      <numFmt numFmtId="164" formatCode="_(&quot;$&quot;* #,##0_);_(&quot;$&quot;* \(#,##0\);_(&quot;$&quot;* &quot;-&quot;??_);_(@_)"/>
      <alignment vertical="bottom" textRotation="0" wrapText="1" indent="0" justifyLastLine="0" shrinkToFit="0" readingOrder="0"/>
    </dxf>
    <dxf>
      <numFmt numFmtId="165" formatCode="\(000\)\ 000\-0000"/>
      <alignment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9" formatCode="m/d/yyyy"/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64" formatCode="_(&quot;$&quot;* #,##0_);_(&quot;$&quot;* \(#,##0\);_(&quot;$&quot;* &quot;-&quot;??_);_(@_)"/>
    </dxf>
    <dxf>
      <numFmt numFmtId="165" formatCode="\(000\)\ 000\-000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0" formatCode="General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(&quot;$&quot;* #,##0_);_(&quot;$&quot;* \(#,##0\);_(&quot;$&quot;* &quot;-&quot;??_);_(@_)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m/d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arsonpackaging-my.sharepoint.com/personal/bthall_pearsonpkg_com/Documents/Desktop/Parts%20Follow%20Up/FollowUp_By_PrimaryRep_7.1.2025%20to%209.12.2025.xlsx" TargetMode="External"/><Relationship Id="rId1" Type="http://schemas.openxmlformats.org/officeDocument/2006/relationships/externalLinkPath" Target="FollowUp_By_PrimaryRep_7.1.2025%20to%209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mj1NAHx1rUiXMRdhsd_PRm0pWSxw-cBLummAJcHM6cc1m17u6V_1Q401qiCEVlpD" itemId="01DDMY54MPXX7NUVRIKREJYWIU6HV2HMEP">
      <xxl21:absoluteUrl r:id="rId2"/>
    </xxl21:alternateUrls>
    <sheetNames>
      <sheetName val="Master Allocation"/>
      <sheetName val="Brent Schrader"/>
      <sheetName val="Eric Simpson"/>
      <sheetName val="LuWanna Morris"/>
      <sheetName val="Reid Kincaid"/>
      <sheetName val="Tami Knoell"/>
      <sheetName val="Summary"/>
      <sheetName val="Orders Recovered"/>
      <sheetName val="FollowUp_By_PrimaryRep_7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ABB65C2-7B51-4C78-8BAC-1EE1A411C7ED}">
    <nsvFilter filterId="{17D7C0DC-915A-49FC-91FA-EE96535CFF25}" ref="A1:M7" tableId="8">
      <sortRules>
        <sortRule colId="2" id="{85FF137E-8F0E-4E02-B30E-F4E24D826FD2}">
          <sortCondition ref="C1:C7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D9F14-BB8E-4632-BBF8-7A0182267B88}" name="Tami" displayName="Tami" ref="A1:M18" totalsRowShown="0" dataDxfId="62">
  <autoFilter ref="A1:M18" xr:uid="{F16D9F14-BB8E-4632-BBF8-7A0182267B88}"/>
  <tableColumns count="13">
    <tableColumn id="1" xr3:uid="{E311C5CD-BE82-48D6-96D3-727E3420FBEA}" name="Quote Number" dataDxfId="61"/>
    <tableColumn id="2" xr3:uid="{2CA5C3FE-E06A-4DC1-91DC-F521B751CB45}" name="Cust. Name" dataDxfId="60"/>
    <tableColumn id="3" xr3:uid="{6AA8E441-6C5B-4DEE-95CF-61676D00494B}" name="Quote Amount" dataDxfId="59" dataCellStyle="Currency"/>
    <tableColumn id="4" xr3:uid="{5A2CF623-3CD0-412B-8B4F-F1658983AFAA}" name="Quote Entry Date" dataDxfId="58"/>
    <tableColumn id="5" xr3:uid="{41F17504-8EF8-41AE-87E8-C83A5D69C7B7}" name="Assignee" dataDxfId="57"/>
    <tableColumn id="6" xr3:uid="{6ED899A1-C8E1-41BE-841B-3F5D2160EE78}" name="Follow Up Date" dataDxfId="56"/>
    <tableColumn id="7" xr3:uid="{BD6CD6F0-5C43-4ACE-825B-E77CB20C247C}" name="Contact Name" dataDxfId="55"/>
    <tableColumn id="8" xr3:uid="{C11EABEF-E1BD-43CC-A32A-BC2B4138177E}" name="Contact Number" dataDxfId="54"/>
    <tableColumn id="9" xr3:uid="{8E965264-9C4F-4449-8654-C80F8C6A6E9D}" name="Actual Order $" dataDxfId="53"/>
    <tableColumn id="10" xr3:uid="{10D60957-2667-4B10-BC9F-6D2B90B605E9}" name="Won/Lost" dataDxfId="52"/>
    <tableColumn id="11" xr3:uid="{B52492A7-E5A9-4430-B7EF-2E3A14E950D8}" name="Won by Follow Up?" dataDxfId="51"/>
    <tableColumn id="12" xr3:uid="{C4CC6261-6C57-4680-94B9-DBECECFD1D5A}" name="Notes" dataDxfId="50"/>
    <tableColumn id="13" xr3:uid="{B0E8807D-D263-4F75-8BEF-9D8235D915DC}" name="Previous Follow Up Date" dataDxfId="4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3F8D2-1C5C-4A7F-B844-8C5C7EE718C0}" name="Brent" displayName="Brent" ref="A1:M79" totalsRowShown="0">
  <autoFilter ref="A1:M79" xr:uid="{D4A3F8D2-1C5C-4A7F-B844-8C5C7EE718C0}"/>
  <sortState xmlns:xlrd2="http://schemas.microsoft.com/office/spreadsheetml/2017/richdata2" ref="A2:M79">
    <sortCondition ref="D1:D79"/>
  </sortState>
  <tableColumns count="13">
    <tableColumn id="1" xr3:uid="{97E8A94E-E514-447B-BCF9-DA85B207BBCB}" name="Quote Number" dataDxfId="48"/>
    <tableColumn id="2" xr3:uid="{930D2A78-3C92-4CB7-9323-E41104C362F3}" name="Cust. Name"/>
    <tableColumn id="3" xr3:uid="{2CAEED6A-B708-4D1E-93BD-3F8DAF63EFC7}" name="Quote Amount" dataDxfId="47" dataCellStyle="Currency"/>
    <tableColumn id="4" xr3:uid="{643994F1-A798-4683-939F-BE19898AC710}" name="Quote Entry Date" dataDxfId="46"/>
    <tableColumn id="5" xr3:uid="{72E03E17-8304-479F-8AC2-D4748FADF6F3}" name="Assignee"/>
    <tableColumn id="6" xr3:uid="{D83D9686-C7C8-4C30-9FAC-2FF92C164D96}" name="Follow Up Date" dataDxfId="45"/>
    <tableColumn id="7" xr3:uid="{9D51E23E-4F93-4EFB-839A-1F43FF0AFF69}" name="Contact Name" dataDxfId="44"/>
    <tableColumn id="8" xr3:uid="{BF3D5CA7-4C60-4191-A528-1E6FDF66A7F6}" name="Contact Number" dataDxfId="43"/>
    <tableColumn id="9" xr3:uid="{F627453C-35C5-4A86-86BD-B7A6A9A3CF19}" name="Actual Order $" dataDxfId="42" dataCellStyle="Currency"/>
    <tableColumn id="10" xr3:uid="{1720FA63-AC7E-4A72-8CC9-4EDB5A4DA946}" name="Won/Lost"/>
    <tableColumn id="11" xr3:uid="{B1C335AC-8D2B-484E-953C-902CB46FBBE1}" name="Won by Follow Up?"/>
    <tableColumn id="12" xr3:uid="{7CACCF9E-7C14-4244-8385-727DB5406B43}" name="Notes"/>
    <tableColumn id="13" xr3:uid="{C2CCE50E-B5E9-489B-9EF2-D8EEFC6E5B0F}" name="Previous Follow Up Date" dataDxfId="4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7A11F8-E6F6-485C-9446-85740BC25841}" name="Eric" displayName="Eric" ref="A1:M49" totalsRowShown="0" dataDxfId="40">
  <autoFilter ref="A1:M49" xr:uid="{957A11F8-E6F6-485C-9446-85740BC25841}"/>
  <tableColumns count="13">
    <tableColumn id="1" xr3:uid="{EFEF7828-7603-4E20-9709-3E9243152FB0}" name="Quote Number" dataDxfId="39"/>
    <tableColumn id="2" xr3:uid="{20054C0B-756F-4FFF-8DD6-901AB90A03D7}" name="Cust. Name" dataDxfId="38"/>
    <tableColumn id="3" xr3:uid="{727F2E16-9DAB-4A6F-80FF-6F764029341A}" name="Quote Amount" dataDxfId="37" dataCellStyle="Currency"/>
    <tableColumn id="4" xr3:uid="{E9DB9E8A-0E7C-47C4-BA68-E69D1ADFB809}" name="Quote Entry Date" dataDxfId="36"/>
    <tableColumn id="5" xr3:uid="{97F00ECC-FCBA-4505-8598-DEC464FF9D16}" name="Assignee" dataDxfId="35"/>
    <tableColumn id="6" xr3:uid="{E0E265BB-6405-4FB3-9168-4B0777BFD529}" name="Follow Up Date" dataDxfId="34"/>
    <tableColumn id="7" xr3:uid="{47C99944-CE6B-4E9F-9824-0D83A7715690}" name="Contact Name" dataDxfId="33"/>
    <tableColumn id="8" xr3:uid="{85A5194F-60D6-44F1-9CDD-8AF21335E787}" name="Contact Number" dataDxfId="32"/>
    <tableColumn id="9" xr3:uid="{B38754B7-68E4-4B8B-9413-1E5269578DAE}" name="Actual Order $" dataDxfId="31" dataCellStyle="Currency"/>
    <tableColumn id="10" xr3:uid="{3BEBF218-94F5-42BA-B1BA-2E4838E34DC0}" name="Won/Lost" dataDxfId="30"/>
    <tableColumn id="11" xr3:uid="{5AF1F44B-F004-4D1F-A2AD-4EBA8392C02A}" name="Won by Follow Up?" dataDxfId="29"/>
    <tableColumn id="12" xr3:uid="{26E14F2C-220E-4645-BF88-6C44C65BD1A4}" name="Notes" dataDxfId="28"/>
    <tableColumn id="13" xr3:uid="{219B6EDE-985F-4EAB-83C9-D88021DFA60D}" name="Previous Follow Up Date" dataDxfId="2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E509AE-E534-4C23-8EF6-75215EB6B32D}" name="LuWanna" displayName="LuWanna" ref="A1:M69" totalsRowShown="0">
  <autoFilter ref="A1:M69" xr:uid="{C2E509AE-E534-4C23-8EF6-75215EB6B32D}"/>
  <sortState xmlns:xlrd2="http://schemas.microsoft.com/office/spreadsheetml/2017/richdata2" ref="A2:M69">
    <sortCondition ref="J1:J69"/>
  </sortState>
  <tableColumns count="13">
    <tableColumn id="1" xr3:uid="{687C0256-1CA3-45E6-B447-270F75795071}" name="Quote Number"/>
    <tableColumn id="2" xr3:uid="{60F933A7-68B0-40E9-BDF5-166ACE6CCA99}" name="Cust. Name"/>
    <tableColumn id="3" xr3:uid="{A37F099B-467F-4980-83A3-3EC57A9FEDBF}" name="Quote Amount" dataDxfId="26" dataCellStyle="Currency"/>
    <tableColumn id="4" xr3:uid="{F6866119-450D-4E80-B7EC-C90B190084DC}" name="Quote Entry Date" dataDxfId="25"/>
    <tableColumn id="5" xr3:uid="{2B027451-327F-4BE3-A306-B4F03B9C28E4}" name="Assignee"/>
    <tableColumn id="6" xr3:uid="{25B36664-24AC-4189-AC3A-C205C048B8C8}" name="Follow Up Date" dataDxfId="24"/>
    <tableColumn id="7" xr3:uid="{E55CBADB-8078-4B93-AC56-AAC72226D9B1}" name="Contact Name" dataDxfId="23"/>
    <tableColumn id="8" xr3:uid="{8D86B89E-B180-414C-A02B-DC0204CF387C}" name="Contact Number" dataDxfId="22"/>
    <tableColumn id="9" xr3:uid="{31E4C87F-8B8A-4A3A-9FE0-95D77D20BF72}" name="Actual Order $" dataDxfId="21" dataCellStyle="Currency"/>
    <tableColumn id="10" xr3:uid="{EBA9E37E-F9B6-4E06-BAB7-BCB4087E5C25}" name="Won/Lost" dataDxfId="20"/>
    <tableColumn id="11" xr3:uid="{14073738-5104-4883-B840-8394C8645415}" name="Won by Follow Up?"/>
    <tableColumn id="12" xr3:uid="{8EA3BC63-DA05-40EA-B1CD-B39332CC5ECE}" name="Notes"/>
    <tableColumn id="13" xr3:uid="{32F9EC25-1455-44C3-B9E4-79137FE43886}" name="Previous Follow Up Date" dataDxfId="1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D7C0DC-915A-49FC-91FA-EE96535CFF25}" name="Reid" displayName="Reid" ref="A1:M7" totalsRowShown="0" headerRowDxfId="18">
  <autoFilter ref="A1:M7" xr:uid="{17D7C0DC-915A-49FC-91FA-EE96535CFF25}"/>
  <sortState xmlns:xlrd2="http://schemas.microsoft.com/office/spreadsheetml/2017/richdata2" ref="A2:M4">
    <sortCondition descending="1" ref="C1:C4"/>
  </sortState>
  <tableColumns count="13">
    <tableColumn id="1" xr3:uid="{0AE69FAA-E283-4FEF-9477-2F65C877B517}" name="Quote Number" dataDxfId="17"/>
    <tableColumn id="2" xr3:uid="{02E968AF-B18B-449B-9B29-BB75C3279797}" name="Cust. Name" dataDxfId="16"/>
    <tableColumn id="3" xr3:uid="{85FF137E-8F0E-4E02-B30E-F4E24D826FD2}" name="Quote Amount" dataDxfId="15" dataCellStyle="Currency"/>
    <tableColumn id="4" xr3:uid="{E6EF0BA1-82B6-4822-A949-32C7142CDE15}" name="Quote Entry Date" dataDxfId="14"/>
    <tableColumn id="5" xr3:uid="{E32DDD02-BBD2-47AF-915C-6C1B9D8399AF}" name="Assignee" dataDxfId="13"/>
    <tableColumn id="6" xr3:uid="{7F275D25-537D-440A-A4DA-395592CE678C}" name="Follow Up Date" dataDxfId="12"/>
    <tableColumn id="7" xr3:uid="{FD1E32B4-4339-4D4D-8FC3-7E0E0831A12E}" name="Contact Name" dataDxfId="11"/>
    <tableColumn id="8" xr3:uid="{058893CD-8810-4F20-8F16-C7B094F40F06}" name="Contact Number" dataDxfId="10"/>
    <tableColumn id="9" xr3:uid="{6AAC2701-BB47-46C8-9F7E-0B261E7087B0}" name="Actual Order $" dataDxfId="9" dataCellStyle="Currency"/>
    <tableColumn id="10" xr3:uid="{B3D35087-8282-472C-A27B-A6B3EA464C95}" name="Won/Lost" dataDxfId="8"/>
    <tableColumn id="11" xr3:uid="{BA198882-F8EB-468B-8CF2-9ADC1E5B5AE3}" name="Won by Follow Up?" dataDxfId="7"/>
    <tableColumn id="12" xr3:uid="{4219E775-AFA0-47D8-A667-3D1F07513348}" name="Notes" dataDxfId="6"/>
    <tableColumn id="13" xr3:uid="{857E3087-A8D2-4C0E-9614-137B2F6745A6}" name="Previous Follow Up Date" dataDxfId="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F908E6-129B-4A13-AC44-4C2699E0AA3B}" name="Table3" displayName="Table3" ref="A1:H7" totalsRowShown="0" headerRowDxfId="4" headerRowBorderDxfId="3" tableBorderDxfId="2">
  <autoFilter ref="A1:H7" xr:uid="{87F908E6-129B-4A13-AC44-4C2699E0AA3B}"/>
  <tableColumns count="8">
    <tableColumn id="1" xr3:uid="{5B2E0F57-3F1D-4F79-B7FA-6672E9AEC53B}" name="Primary Sales Rep"/>
    <tableColumn id="2" xr3:uid="{72634986-080B-402C-BD89-5FBAC617DBBC}" name="Quotes (#)"/>
    <tableColumn id="3" xr3:uid="{EE7563C6-7D04-4414-ABFA-5E2B415749B6}" name="Customers (#)"/>
    <tableColumn id="4" xr3:uid="{068F2A18-7CDB-4A48-BD8F-464330B43237}" name="Total Potential $" dataCellStyle="Currency"/>
    <tableColumn id="5" xr3:uid="{C288483B-9960-47FC-B3BF-820FA66E4D55}" name="Avg $/Quote" dataCellStyle="Currency"/>
    <tableColumn id="6" xr3:uid="{62DB779F-B3C6-44E8-AD30-60FE65EE4792}" name="Amount Recoverd $" dataCellStyle="Currency"/>
    <tableColumn id="8" xr3:uid="{D5839C4F-F8EE-4C14-B0B2-3E2D0D0988DD}" name="Amount by Follow Up Only" dataDxfId="1" dataCellStyle="Currency">
      <calculatedColumnFormula>SUMIFS(LuWanna[Actual Order $], LuWanna[Won/Lost],"Won", LuWanna[Won by Follow Up?], TRUE)</calculatedColumnFormula>
    </tableColumn>
    <tableColumn id="7" xr3:uid="{F17CE848-D37E-4E49-AC6C-58C120C0FCE8}" name="Contacts Made" dataDxfId="0" dataCellStyle="Currency">
      <calculatedColumnFormula>SUBTOTAL(2, [1]!LuWannaTbl[Follow Up Date])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ilihall@amazon.com" TargetMode="External"/><Relationship Id="rId13" Type="http://schemas.openxmlformats.org/officeDocument/2006/relationships/hyperlink" Target="mailto:Robert.Wilson5@jbssa.com,%20Mike.Solze@jbssa.com" TargetMode="External"/><Relationship Id="rId3" Type="http://schemas.openxmlformats.org/officeDocument/2006/relationships/hyperlink" Target="mailto:yaroslav@thetesseragroup.com" TargetMode="External"/><Relationship Id="rId7" Type="http://schemas.openxmlformats.org/officeDocument/2006/relationships/hyperlink" Target="mailto:mpiza@usg.com" TargetMode="External"/><Relationship Id="rId12" Type="http://schemas.openxmlformats.org/officeDocument/2006/relationships/hyperlink" Target="mailto:dyawn@peteandgerrys.com" TargetMode="External"/><Relationship Id="rId2" Type="http://schemas.openxmlformats.org/officeDocument/2006/relationships/hyperlink" Target="mailto:pedrom@amalie.com" TargetMode="External"/><Relationship Id="rId1" Type="http://schemas.openxmlformats.org/officeDocument/2006/relationships/hyperlink" Target="mailto:Jesus.Diaz@vpplastics.com" TargetMode="External"/><Relationship Id="rId6" Type="http://schemas.openxmlformats.org/officeDocument/2006/relationships/hyperlink" Target="mailto:Robert.Wright4@pepsico.com" TargetMode="External"/><Relationship Id="rId11" Type="http://schemas.openxmlformats.org/officeDocument/2006/relationships/hyperlink" Target="mailto:Levary.Little@perdue.com" TargetMode="External"/><Relationship Id="rId5" Type="http://schemas.openxmlformats.org/officeDocument/2006/relationships/hyperlink" Target="mailto:Robert.Wright4@pepsico.com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Kaleb.Fredericks@plzcorp.com" TargetMode="External"/><Relationship Id="rId4" Type="http://schemas.openxmlformats.org/officeDocument/2006/relationships/hyperlink" Target="mailto:Stephanie.Bogues@motion.com" TargetMode="External"/><Relationship Id="rId9" Type="http://schemas.openxmlformats.org/officeDocument/2006/relationships/hyperlink" Target="mailto:d_campbell@cargill.com" TargetMode="External"/><Relationship Id="rId14" Type="http://schemas.openxmlformats.org/officeDocument/2006/relationships/hyperlink" Target="mailto:meskew@sugarfoods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briabrown@niagarawater.com" TargetMode="External"/><Relationship Id="rId2" Type="http://schemas.openxmlformats.org/officeDocument/2006/relationships/hyperlink" Target="mailto:briabrown@niagarawater.com" TargetMode="External"/><Relationship Id="rId1" Type="http://schemas.openxmlformats.org/officeDocument/2006/relationships/hyperlink" Target="mailto:Diedra.Henderson@pilgrims.com" TargetMode="External"/><Relationship Id="rId5" Type="http://schemas.openxmlformats.org/officeDocument/2006/relationships/table" Target="../tables/table2.xml"/><Relationship Id="rId4" Type="http://schemas.openxmlformats.org/officeDocument/2006/relationships/hyperlink" Target="mailto:Kenneth.Rihel@amcor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mailto:Claycraig@berryglobal.com" TargetMode="External"/><Relationship Id="rId1" Type="http://schemas.openxmlformats.org/officeDocument/2006/relationships/hyperlink" Target="mailto:David.Mccollum@alpla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mailto:levary.little@perdue.com" TargetMode="External"/><Relationship Id="rId1" Type="http://schemas.openxmlformats.org/officeDocument/2006/relationships/hyperlink" Target="mailto:gquinde@kariout.com" TargetMode="External"/><Relationship Id="rId4" Type="http://schemas.microsoft.com/office/2019/04/relationships/namedSheetView" Target="../namedSheetViews/namedSheetView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2"/>
  <sheetViews>
    <sheetView topLeftCell="A6" zoomScale="90" zoomScaleNormal="90" workbookViewId="0">
      <selection activeCell="B255" sqref="B255"/>
    </sheetView>
  </sheetViews>
  <sheetFormatPr defaultRowHeight="14.4" x14ac:dyDescent="0.3"/>
  <cols>
    <col min="1" max="1" width="14" style="7" bestFit="1" customWidth="1"/>
    <col min="2" max="2" width="52.6640625" bestFit="1" customWidth="1"/>
    <col min="3" max="3" width="13.88671875" style="2" bestFit="1" customWidth="1"/>
    <col min="4" max="4" width="12.109375" style="21" customWidth="1"/>
    <col min="5" max="5" width="15" bestFit="1" customWidth="1"/>
    <col min="6" max="6" width="14.109375" style="21" bestFit="1" customWidth="1"/>
    <col min="7" max="7" width="20.5546875" style="26" customWidth="1"/>
    <col min="8" max="8" width="17.44140625" style="24" customWidth="1"/>
    <col min="9" max="9" width="15.109375" style="2" bestFit="1" customWidth="1"/>
    <col min="10" max="10" width="9.5546875" style="19" bestFit="1" customWidth="1"/>
    <col min="11" max="11" width="16.6640625" bestFit="1" customWidth="1"/>
    <col min="12" max="12" width="69" customWidth="1"/>
    <col min="13" max="13" width="23" style="21" bestFit="1" customWidth="1"/>
  </cols>
  <sheetData>
    <row r="1" spans="1:13" x14ac:dyDescent="0.3">
      <c r="A1" s="25" t="s">
        <v>0</v>
      </c>
      <c r="B1" s="4" t="s">
        <v>1</v>
      </c>
      <c r="C1" s="5" t="s">
        <v>2</v>
      </c>
      <c r="D1" s="22" t="s">
        <v>3</v>
      </c>
      <c r="E1" s="4" t="s">
        <v>4</v>
      </c>
      <c r="F1" s="22" t="s">
        <v>5</v>
      </c>
      <c r="G1" s="33" t="s">
        <v>6</v>
      </c>
      <c r="H1" s="23" t="s">
        <v>7</v>
      </c>
      <c r="I1" s="5" t="s">
        <v>8</v>
      </c>
      <c r="J1" s="18" t="s">
        <v>9</v>
      </c>
      <c r="K1" s="4" t="s">
        <v>10</v>
      </c>
      <c r="L1" s="4" t="s">
        <v>11</v>
      </c>
      <c r="M1" s="33" t="s">
        <v>12</v>
      </c>
    </row>
    <row r="2" spans="1:13" x14ac:dyDescent="0.3">
      <c r="A2" s="7" cm="1">
        <f t="array" ref="A2:M302">IF(_xlfn.VSTACK(_xlfn._xlws.FILTER('Tami Knoell'!A2:M513,'Tami Knoell'!A2:A513&lt;&gt;""),_xlfn._xlws.FILTER('Brent Schrader'!A2:M547,'Brent Schrader'!A2:A547&lt;&gt;""),_xlfn._xlws.FILTER('Eric Simpson'!A2:M529,'Eric Simpson'!A2:A529&lt;&gt;""),_xlfn._xlws.FILTER('LuWanna Morris'!A4:M528,'LuWanna Morris'!A4:A528&lt;&gt;""),_xlfn._xlws.FILTER('Reid Kincaid'!A2:M494,'Reid Kincaid'!A2:A494&lt;&gt;""))="","",_xlfn.VSTACK(_xlfn._xlws.FILTER('Tami Knoell'!A2:M513,'Tami Knoell'!A2:A513&lt;&gt;""),_xlfn._xlws.FILTER('Brent Schrader'!A2:M547,'Brent Schrader'!A2:A547&lt;&gt;""),_xlfn._xlws.FILTER('Eric Simpson'!A2:M529,'Eric Simpson'!A2:A529&lt;&gt;""),_xlfn._xlws.FILTER('LuWanna Morris'!A4:M528,'LuWanna Morris'!A4:A528&lt;&gt;""),_xlfn._xlws.FILTER('Reid Kincaid'!A2:M494,'Reid Kincaid'!A2:A494&lt;&gt;"")))</f>
        <v>190629</v>
      </c>
      <c r="B2" t="str">
        <v>ABF Labs/American Blending &amp; Filling/Visual Pak</v>
      </c>
      <c r="C2" s="2">
        <v>2462.1999999999998</v>
      </c>
      <c r="D2" s="21">
        <v>46031</v>
      </c>
      <c r="E2" t="str">
        <v>Tami Knoell</v>
      </c>
      <c r="F2" s="21" t="str">
        <v>none required</v>
      </c>
      <c r="G2" s="26" t="str">
        <v>Jesus Diaz</v>
      </c>
      <c r="H2" s="24" t="str">
        <v>Jesus.Diaz@vpplastics.com</v>
      </c>
      <c r="I2" s="2">
        <v>1846.65</v>
      </c>
      <c r="J2" s="19" t="str">
        <v>Won</v>
      </c>
      <c r="K2" s="20" t="b">
        <v>0</v>
      </c>
      <c r="L2" t="str">
        <v>Customer already proceeded to order SO #426550 01/12, Closed quote as Won 02/20/2026</v>
      </c>
      <c r="M2" s="21" t="str">
        <v/>
      </c>
    </row>
    <row r="3" spans="1:13" x14ac:dyDescent="0.3">
      <c r="A3" s="7">
        <v>190875</v>
      </c>
      <c r="B3" t="str">
        <v>AOCUSA – Amalie Oil</v>
      </c>
      <c r="C3" s="2">
        <v>1684.68</v>
      </c>
      <c r="D3" s="21">
        <v>46038</v>
      </c>
      <c r="E3" t="str">
        <v>Tami Knoell</v>
      </c>
      <c r="F3" s="21">
        <v>46073</v>
      </c>
      <c r="G3" s="26" t="str">
        <v>Pedro Mendoza</v>
      </c>
      <c r="H3" s="24" t="str">
        <v>pedrom@amalie.com</v>
      </c>
      <c r="I3" s="2" t="str">
        <v> </v>
      </c>
      <c r="J3" s="19" t="str">
        <v> </v>
      </c>
      <c r="K3" s="20" t="b">
        <v>0</v>
      </c>
      <c r="L3" t="str">
        <v>Pending</v>
      </c>
      <c r="M3" s="21" t="str">
        <v> </v>
      </c>
    </row>
    <row r="4" spans="1:13" x14ac:dyDescent="0.3">
      <c r="A4" s="7">
        <v>190806</v>
      </c>
      <c r="B4" t="str">
        <v>MD Packaging</v>
      </c>
      <c r="C4" s="2">
        <v>2106.2199999999998</v>
      </c>
      <c r="D4" s="21">
        <v>46037</v>
      </c>
      <c r="E4" t="str">
        <v>Tami Knoell</v>
      </c>
      <c r="F4" s="21" t="str">
        <v>none required</v>
      </c>
      <c r="G4" s="26" t="str">
        <v>Yaroslav Lesho</v>
      </c>
      <c r="H4" s="24" t="str">
        <v>yaroslav@thetesseragroup.com</v>
      </c>
      <c r="I4" s="2" t="str">
        <v/>
      </c>
      <c r="J4" s="19" t="str">
        <v> </v>
      </c>
      <c r="K4" s="20" t="b">
        <v>0</v>
      </c>
      <c r="L4" t="str">
        <v>Quote previously incomplete, Finalized with new quote amount 02/18/2026</v>
      </c>
      <c r="M4" s="21" t="str">
        <v/>
      </c>
    </row>
    <row r="5" spans="1:13" x14ac:dyDescent="0.3">
      <c r="A5" s="7">
        <v>190418</v>
      </c>
      <c r="B5" t="str">
        <v>Motion Industries</v>
      </c>
      <c r="C5" s="2">
        <v>1944.03</v>
      </c>
      <c r="D5" s="21">
        <v>46030</v>
      </c>
      <c r="E5" t="str">
        <v>Tami Knoell</v>
      </c>
      <c r="F5" s="21" t="str">
        <v>none required</v>
      </c>
      <c r="G5" s="26" t="str">
        <v>Stephanie Bogues</v>
      </c>
      <c r="H5" s="24" t="str">
        <v>Stephanie.Bogues@motion.com</v>
      </c>
      <c r="I5" s="2">
        <v>1944.03</v>
      </c>
      <c r="J5" s="19" t="str">
        <v>Won</v>
      </c>
      <c r="K5" s="20" t="b">
        <v>0</v>
      </c>
      <c r="L5" t="str">
        <v>Customer already proceeded to order SO #426378 01/08, Closed quote as Won 02/20/2026</v>
      </c>
      <c r="M5" s="21" t="str">
        <v/>
      </c>
    </row>
    <row r="6" spans="1:13" x14ac:dyDescent="0.3">
      <c r="A6" s="7">
        <v>190844</v>
      </c>
      <c r="B6" t="str">
        <v>PepsiCo</v>
      </c>
      <c r="C6" s="2">
        <v>13162.58</v>
      </c>
      <c r="D6" s="21">
        <v>46037</v>
      </c>
      <c r="E6" t="str">
        <v>Tami Knoell</v>
      </c>
      <c r="F6" s="21" t="str">
        <v>none required</v>
      </c>
      <c r="G6" s="26" t="str">
        <v>Robert Wright</v>
      </c>
      <c r="H6" s="24" t="str">
        <v>Robert.Wright4@pepsico.com</v>
      </c>
      <c r="I6" s="2">
        <v>13162.58</v>
      </c>
      <c r="J6" s="19" t="str">
        <v>Won</v>
      </c>
      <c r="K6" s="20" t="b">
        <v>0</v>
      </c>
      <c r="L6" t="str">
        <v>Customer already proceeded to order SO #428853 02/26, Closed quote as Won 02/27/2026</v>
      </c>
      <c r="M6" s="21" t="str">
        <v> </v>
      </c>
    </row>
    <row r="7" spans="1:13" x14ac:dyDescent="0.3">
      <c r="A7" s="7">
        <v>190839</v>
      </c>
      <c r="B7" t="str">
        <v>Shorr Packaging Corp</v>
      </c>
      <c r="C7" s="2">
        <v>2922.19</v>
      </c>
      <c r="D7" s="21">
        <v>46037</v>
      </c>
      <c r="E7" t="str">
        <v>Tami Knoell</v>
      </c>
      <c r="F7" s="21">
        <v>46077</v>
      </c>
      <c r="G7" s="26" t="str">
        <v>Gary McPherson</v>
      </c>
      <c r="H7" s="24" t="str">
        <v>parts@shorr.com</v>
      </c>
      <c r="I7" s="2">
        <v>348</v>
      </c>
      <c r="J7" s="19" t="str">
        <v>Won</v>
      </c>
      <c r="K7" s="20" t="b">
        <v>0</v>
      </c>
      <c r="L7" t="str">
        <v>Customer already proceeded to order SO #427080 01/22 for 2 of 4 items quoted, Closed quote as Won 02/25/2026</v>
      </c>
      <c r="M7" s="21" t="str">
        <v> </v>
      </c>
    </row>
    <row r="8" spans="1:13" x14ac:dyDescent="0.3">
      <c r="A8" s="7">
        <v>190830</v>
      </c>
      <c r="B8" t="str">
        <v>PepsiCo</v>
      </c>
      <c r="C8" s="2">
        <v>4848.05</v>
      </c>
      <c r="D8" s="21">
        <v>46041</v>
      </c>
      <c r="E8" t="str">
        <v>Alisha Teslow</v>
      </c>
      <c r="F8" s="21" t="str">
        <v>none required</v>
      </c>
      <c r="G8" s="26" t="str">
        <v>Robert Wright</v>
      </c>
      <c r="H8" s="24" t="str">
        <v>Robert.Wright4@pepsico.com</v>
      </c>
      <c r="I8" s="2">
        <v>4848.05</v>
      </c>
      <c r="J8" s="19" t="str">
        <v>Won</v>
      </c>
      <c r="K8" s="20" t="b">
        <v>0</v>
      </c>
      <c r="L8" t="str">
        <v>Customer already proceeded to order SO #428854 02/26, Closed quote as Won 02/27/2026</v>
      </c>
      <c r="M8" s="21" t="str">
        <v/>
      </c>
    </row>
    <row r="9" spans="1:13" x14ac:dyDescent="0.3">
      <c r="A9" s="7">
        <v>190826</v>
      </c>
      <c r="B9" t="str">
        <v>United States Gypsum Company</v>
      </c>
      <c r="C9" s="2">
        <v>2184</v>
      </c>
      <c r="D9" s="21">
        <v>46037</v>
      </c>
      <c r="E9" t="str">
        <v>Alisha Teslow</v>
      </c>
      <c r="F9" s="21">
        <v>46080</v>
      </c>
      <c r="G9" s="26" t="str">
        <v>Manuel Piza</v>
      </c>
      <c r="H9" s="24" t="str">
        <v>mpiza@usg.com</v>
      </c>
      <c r="I9" s="2" t="str">
        <v> </v>
      </c>
      <c r="J9" s="19" t="str">
        <v> </v>
      </c>
      <c r="K9" s="20" t="b">
        <v>0</v>
      </c>
      <c r="L9" t="str">
        <v>Pending</v>
      </c>
      <c r="M9" s="21" t="str">
        <v/>
      </c>
    </row>
    <row r="10" spans="1:13" x14ac:dyDescent="0.3">
      <c r="A10" s="7">
        <v>191759</v>
      </c>
      <c r="B10" t="str">
        <v>Amazon.com</v>
      </c>
      <c r="C10" s="2">
        <v>1882.65</v>
      </c>
      <c r="D10" s="21" t="str">
        <v/>
      </c>
      <c r="E10" t="str">
        <v>Tami Knoell</v>
      </c>
      <c r="F10" s="21">
        <v>46077</v>
      </c>
      <c r="G10" s="26" t="str">
        <v>Lili Hall</v>
      </c>
      <c r="H10" s="24" t="str">
        <v>lilihall@amazon.com</v>
      </c>
      <c r="I10" s="2" t="str">
        <v> </v>
      </c>
      <c r="J10" s="19" t="str">
        <v> </v>
      </c>
      <c r="K10" s="20" t="b">
        <v>0</v>
      </c>
      <c r="L10" t="str">
        <v>Quote incomplete, Pending part number verification from customer</v>
      </c>
      <c r="M10" s="21" t="str">
        <v/>
      </c>
    </row>
    <row r="11" spans="1:13" x14ac:dyDescent="0.3">
      <c r="A11" s="7">
        <v>191539</v>
      </c>
      <c r="B11" t="str">
        <v>Cargill</v>
      </c>
      <c r="C11" s="2">
        <v>6368</v>
      </c>
      <c r="D11" s="21">
        <v>46057</v>
      </c>
      <c r="E11" t="str">
        <v>Tami Knoell</v>
      </c>
      <c r="F11" s="21" t="str">
        <v>none required</v>
      </c>
      <c r="G11" s="26" t="str">
        <v>David Campbell</v>
      </c>
      <c r="H11" s="24" t="str">
        <v>d_campbell@cargill.com</v>
      </c>
      <c r="I11" s="2">
        <v>6368</v>
      </c>
      <c r="J11" s="19" t="str">
        <v>Won</v>
      </c>
      <c r="K11" s="20" t="b">
        <v>0</v>
      </c>
      <c r="L11" t="str">
        <v>Customer already proceeded to order SO #427856 02/05, Closed quote as Won 02/24/2026</v>
      </c>
      <c r="M11" s="21" t="str">
        <v/>
      </c>
    </row>
    <row r="12" spans="1:13" x14ac:dyDescent="0.3">
      <c r="A12" s="7">
        <v>191623</v>
      </c>
      <c r="B12" t="str">
        <v>George Delallo Company</v>
      </c>
      <c r="C12" s="2">
        <v>3226.47</v>
      </c>
      <c r="D12" s="21">
        <v>46059</v>
      </c>
      <c r="E12" t="str">
        <v>Tami Knoell</v>
      </c>
      <c r="F12" s="21">
        <v>46077</v>
      </c>
      <c r="G12" s="26" t="str">
        <v>Ron Crofutt</v>
      </c>
      <c r="H12" s="24" t="str">
        <v>rcrofutt3716@gmail.com</v>
      </c>
      <c r="I12" s="2" t="str">
        <v/>
      </c>
      <c r="J12" s="19" t="str">
        <v> </v>
      </c>
      <c r="K12" s="20" t="b">
        <v>0</v>
      </c>
      <c r="L12" t="str">
        <v>Pending</v>
      </c>
      <c r="M12" s="21" t="str">
        <v> </v>
      </c>
    </row>
    <row r="13" spans="1:13" x14ac:dyDescent="0.3">
      <c r="A13" s="7">
        <v>191639</v>
      </c>
      <c r="B13" t="str">
        <v>JBS USA</v>
      </c>
      <c r="C13" s="2">
        <v>5424</v>
      </c>
      <c r="D13" s="21" t="str">
        <v/>
      </c>
      <c r="E13" t="str">
        <v>Tami Knoell</v>
      </c>
      <c r="F13" s="21" t="str">
        <v>none required</v>
      </c>
      <c r="G13" s="26" t="str">
        <v xml:space="preserve">Robert Wilson, Mike Solze
</v>
      </c>
      <c r="H13" s="24" t="str">
        <v>Robert.Wilson5@jbssa.com, Mike.Solze@jbssa.com</v>
      </c>
      <c r="I13" s="2" t="str">
        <v> </v>
      </c>
      <c r="J13" s="19" t="str">
        <v> </v>
      </c>
      <c r="K13" s="20" t="b">
        <v>0</v>
      </c>
      <c r="L13" t="str">
        <v>Quote incomplete, Still pending sourcing information from Procurement Team 02/27/2026</v>
      </c>
      <c r="M13" s="21" t="str">
        <v> </v>
      </c>
    </row>
    <row r="14" spans="1:13" x14ac:dyDescent="0.3">
      <c r="A14" s="7">
        <v>191910</v>
      </c>
      <c r="B14" t="str">
        <v>PLZ Corp/Follmer Dev/Chicago Aerosol</v>
      </c>
      <c r="C14" s="2">
        <v>5653.73</v>
      </c>
      <c r="D14" s="21" t="str">
        <v/>
      </c>
      <c r="E14" t="str">
        <v>Tami Knoell</v>
      </c>
      <c r="F14" s="21">
        <v>46079</v>
      </c>
      <c r="G14" s="26" t="str">
        <v>Kaleb Fredericks</v>
      </c>
      <c r="H14" s="24" t="str">
        <v>Kaleb.Fredericks@plzcorp.com</v>
      </c>
      <c r="I14" s="2" t="str">
        <v/>
      </c>
      <c r="J14" s="19" t="str">
        <v> </v>
      </c>
      <c r="K14" s="20" t="b">
        <v>0</v>
      </c>
      <c r="L14" t="str">
        <v>Pending</v>
      </c>
      <c r="M14" s="21" t="str">
        <v> </v>
      </c>
    </row>
    <row r="15" spans="1:13" x14ac:dyDescent="0.3">
      <c r="A15" s="7">
        <v>191532</v>
      </c>
      <c r="B15" t="str">
        <v>Perdue Farms</v>
      </c>
      <c r="C15" s="2">
        <v>2085.4</v>
      </c>
      <c r="D15" s="21">
        <v>46057</v>
      </c>
      <c r="E15" t="str">
        <v>Tami Knoell</v>
      </c>
      <c r="F15" s="21">
        <v>46077</v>
      </c>
      <c r="G15" s="26" t="str">
        <v>Levary Little</v>
      </c>
      <c r="H15" s="24" t="str">
        <v>Levary.Little@perdue.com</v>
      </c>
      <c r="I15" s="2" t="str">
        <v/>
      </c>
      <c r="J15" s="19" t="str">
        <v> </v>
      </c>
      <c r="K15" s="20" t="b">
        <v>0</v>
      </c>
      <c r="L15" t="str">
        <v>Pending</v>
      </c>
      <c r="M15" s="21" t="str">
        <v> </v>
      </c>
    </row>
    <row r="16" spans="1:13" x14ac:dyDescent="0.3">
      <c r="A16" s="7">
        <v>191481</v>
      </c>
      <c r="B16" t="str">
        <v>Pete &amp; Gerry's Organics, LLC</v>
      </c>
      <c r="C16" s="2">
        <v>2778</v>
      </c>
      <c r="D16" s="21">
        <v>46057</v>
      </c>
      <c r="E16" t="str">
        <v>Tami Knoell</v>
      </c>
      <c r="F16" s="21" t="str">
        <v>none required</v>
      </c>
      <c r="G16" s="26" t="str">
        <v>Daniel Yawn</v>
      </c>
      <c r="H16" s="24" t="str">
        <v>dyawn@peteandgerrys.com</v>
      </c>
      <c r="I16" s="2">
        <v>2778</v>
      </c>
      <c r="J16" s="19" t="str">
        <v>Won</v>
      </c>
      <c r="K16" s="20" t="b">
        <v>0</v>
      </c>
      <c r="L16" t="str">
        <v>Customer already proceeded to order SO #427754 02/04/2026</v>
      </c>
      <c r="M16" s="21" t="str">
        <v/>
      </c>
    </row>
    <row r="17" spans="1:13" x14ac:dyDescent="0.3">
      <c r="A17" s="7">
        <v>191864</v>
      </c>
      <c r="B17" t="str">
        <v>Sugar Foods Corporation</v>
      </c>
      <c r="C17" s="2">
        <v>2370</v>
      </c>
      <c r="D17" s="21">
        <v>46065</v>
      </c>
      <c r="E17" t="str">
        <v>Tami Knoell</v>
      </c>
      <c r="F17" s="21">
        <v>46080</v>
      </c>
      <c r="G17" s="26" t="str">
        <v>Michael Eskew</v>
      </c>
      <c r="H17" s="24" t="str">
        <v>meskew@sugarfoods.com</v>
      </c>
      <c r="I17" s="2" t="str">
        <v/>
      </c>
      <c r="J17" s="19" t="str">
        <v/>
      </c>
      <c r="K17" s="20" t="b">
        <v>0</v>
      </c>
      <c r="L17" t="str">
        <v>Pending</v>
      </c>
      <c r="M17" s="21" t="str">
        <v/>
      </c>
    </row>
    <row r="18" spans="1:13" x14ac:dyDescent="0.3">
      <c r="A18" s="7">
        <v>190412</v>
      </c>
      <c r="B18" t="str">
        <v>Tyson Foods, Inc. HQ</v>
      </c>
      <c r="C18" s="2">
        <v>9177</v>
      </c>
      <c r="D18" s="21">
        <v>46024</v>
      </c>
      <c r="E18" t="str">
        <v>Brent Schrader</v>
      </c>
      <c r="F18" s="21">
        <v>46069</v>
      </c>
      <c r="G18" s="26" t="str">
        <v>Edward Krezek</v>
      </c>
      <c r="H18" s="24" t="str">
        <v>Edward Krezek</v>
      </c>
      <c r="I18" s="2">
        <v>9177</v>
      </c>
      <c r="J18" s="19" t="str">
        <v>won</v>
      </c>
      <c r="K18" s="20" t="b">
        <v>1</v>
      </c>
      <c r="L18" t="str">
        <v>sent email 427571</v>
      </c>
      <c r="M18" s="21">
        <v>46051</v>
      </c>
    </row>
    <row r="19" spans="1:13" x14ac:dyDescent="0.3">
      <c r="A19" s="7">
        <v>190460</v>
      </c>
      <c r="B19" t="str">
        <v>ZXP Technologies</v>
      </c>
      <c r="C19" s="2">
        <v>16000</v>
      </c>
      <c r="D19" s="21">
        <v>46028</v>
      </c>
      <c r="E19" t="str">
        <v>Brent Schrader</v>
      </c>
      <c r="F19" s="21">
        <v>46069</v>
      </c>
      <c r="G19" s="26" t="str">
        <v>Bobby Lawder</v>
      </c>
      <c r="H19" s="24" t="str">
        <v/>
      </c>
      <c r="I19" s="2" t="str">
        <v/>
      </c>
      <c r="J19" s="19" t="str">
        <v/>
      </c>
      <c r="K19" s="20" t="b">
        <v>0</v>
      </c>
      <c r="L19" t="str">
        <v>sent email 2nd email sent</v>
      </c>
      <c r="M19" s="21">
        <v>46051</v>
      </c>
    </row>
    <row r="20" spans="1:13" x14ac:dyDescent="0.3">
      <c r="A20" s="7">
        <v>190526</v>
      </c>
      <c r="B20" t="str">
        <v>ConAgra / Lamb Weston</v>
      </c>
      <c r="C20" s="2">
        <v>4143.2</v>
      </c>
      <c r="D20" s="21">
        <v>46029</v>
      </c>
      <c r="E20" t="str">
        <v>Brent Schrader</v>
      </c>
      <c r="F20" s="21">
        <v>46069</v>
      </c>
      <c r="G20" s="26" t="str">
        <v>Matthew Hites</v>
      </c>
      <c r="H20" s="24" t="str">
        <v/>
      </c>
      <c r="I20" s="2" t="str">
        <v/>
      </c>
      <c r="J20" s="19" t="str">
        <v/>
      </c>
      <c r="K20" s="20" t="b">
        <v>0</v>
      </c>
      <c r="L20" t="str">
        <v>sent email, 2nd email, should be ordering soon</v>
      </c>
      <c r="M20" s="21">
        <v>46051</v>
      </c>
    </row>
    <row r="21" spans="1:13" x14ac:dyDescent="0.3">
      <c r="A21" s="7">
        <v>190525</v>
      </c>
      <c r="B21" t="str">
        <v>Hormel Foods</v>
      </c>
      <c r="C21" s="2">
        <v>5572.88</v>
      </c>
      <c r="D21" s="21">
        <v>46029</v>
      </c>
      <c r="E21" t="str">
        <v>Brent Schrader</v>
      </c>
      <c r="F21" s="21">
        <v>46069</v>
      </c>
      <c r="G21" s="26" t="str">
        <v>Blake_Robert_W'</v>
      </c>
      <c r="H21" s="24" t="str">
        <v/>
      </c>
      <c r="I21" s="2">
        <v>1394</v>
      </c>
      <c r="J21" s="19" t="str">
        <v>won</v>
      </c>
      <c r="K21" s="20" t="b">
        <v>0</v>
      </c>
      <c r="L21" t="str">
        <v>sent email , ordered 1 door</v>
      </c>
      <c r="M21" s="21">
        <v>46051</v>
      </c>
    </row>
    <row r="22" spans="1:13" x14ac:dyDescent="0.3">
      <c r="A22" s="7">
        <v>190413</v>
      </c>
      <c r="B22" t="str">
        <v>Tyson Foods, Inc. HQ</v>
      </c>
      <c r="C22" s="2">
        <v>9800.68</v>
      </c>
      <c r="D22" s="21">
        <v>46029</v>
      </c>
      <c r="E22" t="str">
        <v>Brent Schrader</v>
      </c>
      <c r="F22" s="21">
        <v>46069</v>
      </c>
      <c r="G22" s="26" t="str">
        <v>Edward Krezek</v>
      </c>
      <c r="H22" s="24" t="str">
        <v>Edward Krezek</v>
      </c>
      <c r="I22" s="2">
        <v>9721</v>
      </c>
      <c r="J22" s="19" t="str">
        <v>won</v>
      </c>
      <c r="K22" s="20" t="b">
        <v>1</v>
      </c>
      <c r="L22" t="str">
        <v>sent email 427568</v>
      </c>
      <c r="M22" s="21">
        <v>46051</v>
      </c>
    </row>
    <row r="23" spans="1:13" x14ac:dyDescent="0.3">
      <c r="A23" s="7">
        <v>190612</v>
      </c>
      <c r="B23" t="str">
        <v>MD Packaging</v>
      </c>
      <c r="C23" s="2">
        <v>3839.2</v>
      </c>
      <c r="D23" s="21">
        <v>46031</v>
      </c>
      <c r="E23" t="str">
        <v>Brent Schrader</v>
      </c>
      <c r="F23" s="21">
        <v>46069</v>
      </c>
      <c r="G23" s="26" t="str">
        <v/>
      </c>
      <c r="H23" s="24" t="str">
        <v/>
      </c>
      <c r="I23" s="2" t="str">
        <v/>
      </c>
      <c r="J23" s="19" t="str">
        <v/>
      </c>
      <c r="K23" s="20" t="b">
        <v>0</v>
      </c>
      <c r="L23" t="str">
        <v>customer has not ordered yet</v>
      </c>
      <c r="M23" s="21">
        <v>46051</v>
      </c>
    </row>
    <row r="24" spans="1:13" x14ac:dyDescent="0.3">
      <c r="A24" s="7">
        <v>190594</v>
      </c>
      <c r="B24" t="str">
        <v>Mitek Industries, Inc.</v>
      </c>
      <c r="C24" s="2">
        <v>8641.4599999999991</v>
      </c>
      <c r="D24" s="21">
        <v>46031</v>
      </c>
      <c r="E24" t="str">
        <v>Brent Schrader</v>
      </c>
      <c r="F24" s="21">
        <v>46069</v>
      </c>
      <c r="G24" s="26" t="str">
        <v>Mel.Butler@mii.com</v>
      </c>
      <c r="H24" s="24" t="str">
        <v/>
      </c>
      <c r="I24" s="2" t="str">
        <v/>
      </c>
      <c r="J24" s="19" t="str">
        <v/>
      </c>
      <c r="K24" s="20" t="b">
        <v>0</v>
      </c>
      <c r="L24" t="str">
        <v>2nd email</v>
      </c>
      <c r="M24" s="21">
        <v>46051</v>
      </c>
    </row>
    <row r="25" spans="1:13" x14ac:dyDescent="0.3">
      <c r="A25" s="7">
        <v>190677</v>
      </c>
      <c r="B25" t="str">
        <v>Bob Evans</v>
      </c>
      <c r="C25" s="2">
        <v>2115</v>
      </c>
      <c r="D25" s="21">
        <v>46034</v>
      </c>
      <c r="E25" t="str">
        <v>Brent Schrader</v>
      </c>
      <c r="F25" s="21">
        <v>46069</v>
      </c>
      <c r="G25" s="26" t="str">
        <v>jody.cukovecki@bobevansfoods.com</v>
      </c>
      <c r="H25" s="24" t="str">
        <v/>
      </c>
      <c r="I25" s="2" t="str">
        <v/>
      </c>
      <c r="J25" s="19" t="str">
        <v/>
      </c>
      <c r="K25" s="20" t="b">
        <v>0</v>
      </c>
      <c r="L25" t="str">
        <v>sent email 2nd email sent</v>
      </c>
      <c r="M25" s="21">
        <v>46051</v>
      </c>
    </row>
    <row r="26" spans="1:13" x14ac:dyDescent="0.3">
      <c r="A26" s="7">
        <v>190680</v>
      </c>
      <c r="B26" t="str">
        <v>ConAgra / Lamb Weston</v>
      </c>
      <c r="C26" s="2">
        <v>5400</v>
      </c>
      <c r="D26" s="21">
        <v>46034</v>
      </c>
      <c r="E26" t="str">
        <v>Brent Schrader</v>
      </c>
      <c r="F26" s="21">
        <v>46069</v>
      </c>
      <c r="G26" s="26" t="str">
        <v>Bryan.Sumner@lambweston.com</v>
      </c>
      <c r="H26" s="24" t="str">
        <v/>
      </c>
      <c r="I26" s="2" t="str">
        <v/>
      </c>
      <c r="J26" s="19" t="str">
        <v/>
      </c>
      <c r="K26" s="20" t="b">
        <v>0</v>
      </c>
      <c r="L26" t="str">
        <v>sent email 2nd email sent</v>
      </c>
      <c r="M26" s="21">
        <v>46052</v>
      </c>
    </row>
    <row r="27" spans="1:13" x14ac:dyDescent="0.3">
      <c r="A27" s="7">
        <v>190709</v>
      </c>
      <c r="B27" t="str">
        <v>Bob Evans</v>
      </c>
      <c r="C27" s="2">
        <v>2698</v>
      </c>
      <c r="D27" s="21">
        <v>46035</v>
      </c>
      <c r="E27" t="str">
        <v>Brent Schrader</v>
      </c>
      <c r="F27" s="21">
        <v>46069</v>
      </c>
      <c r="G27" s="26" t="str">
        <v>james.richardson@bobevansfarms.com</v>
      </c>
      <c r="H27" s="24" t="str">
        <v/>
      </c>
      <c r="I27" s="2" t="str">
        <v/>
      </c>
      <c r="J27" s="19" t="str">
        <v/>
      </c>
      <c r="K27" s="20" t="b">
        <v>0</v>
      </c>
      <c r="L27" t="str">
        <v>sent email 2nd email sent</v>
      </c>
      <c r="M27" s="21">
        <v>46052</v>
      </c>
    </row>
    <row r="28" spans="1:13" x14ac:dyDescent="0.3">
      <c r="A28" s="7">
        <v>190701</v>
      </c>
      <c r="B28" t="str">
        <v>Ecolab</v>
      </c>
      <c r="C28" s="2">
        <v>12743.37</v>
      </c>
      <c r="D28" s="21">
        <v>46035</v>
      </c>
      <c r="E28" t="str">
        <v>Brent Schrader</v>
      </c>
      <c r="F28" s="21">
        <v>46069</v>
      </c>
      <c r="G28" s="26" t="str">
        <v>matthew.glover@ecolab.com</v>
      </c>
      <c r="H28" s="24" t="str">
        <v/>
      </c>
      <c r="I28" s="2" t="str">
        <v/>
      </c>
      <c r="J28" s="19" t="str">
        <v/>
      </c>
      <c r="K28" s="20" t="b">
        <v>0</v>
      </c>
      <c r="L28" t="str">
        <v>sent email, may order some, killed rsp quote</v>
      </c>
      <c r="M28" s="21">
        <v>46052</v>
      </c>
    </row>
    <row r="29" spans="1:13" x14ac:dyDescent="0.3">
      <c r="A29" s="7">
        <v>190549</v>
      </c>
      <c r="B29" t="str">
        <v>RWS One</v>
      </c>
      <c r="C29" s="2">
        <v>44413.08</v>
      </c>
      <c r="D29" s="21">
        <v>46035</v>
      </c>
      <c r="E29" t="str">
        <v>Brent Schrader</v>
      </c>
      <c r="F29" s="21">
        <v>46069</v>
      </c>
      <c r="G29" s="26" t="str">
        <v>ryand@umpquadairy.com</v>
      </c>
      <c r="H29" s="24" t="str">
        <v/>
      </c>
      <c r="I29" s="2" t="str">
        <v/>
      </c>
      <c r="J29" s="19" t="str">
        <v/>
      </c>
      <c r="K29" s="20" t="b">
        <v>0</v>
      </c>
      <c r="L29" t="str">
        <v>sent email, checking parts against stock, may order some, closed quote, sent follow up email</v>
      </c>
      <c r="M29" s="21">
        <v>46052</v>
      </c>
    </row>
    <row r="30" spans="1:13" x14ac:dyDescent="0.3">
      <c r="A30" s="7">
        <v>190759</v>
      </c>
      <c r="B30" t="str">
        <v>Bimbo Bakeries</v>
      </c>
      <c r="C30" s="2">
        <v>2592.5500000000002</v>
      </c>
      <c r="D30" s="21">
        <v>46036</v>
      </c>
      <c r="E30" t="str">
        <v>Brent Schrader</v>
      </c>
      <c r="F30" s="21">
        <v>46069</v>
      </c>
      <c r="G30" s="26" t="str">
        <v>Jeffrey.Eaker@grupobimbo.com</v>
      </c>
      <c r="H30" s="24" t="str">
        <v/>
      </c>
      <c r="I30" s="2">
        <v>2593</v>
      </c>
      <c r="J30" s="19" t="str">
        <v>won</v>
      </c>
      <c r="K30" s="20" t="b">
        <v>1</v>
      </c>
      <c r="L30" t="str">
        <v>sent email, 427515</v>
      </c>
      <c r="M30" s="21">
        <v>46052</v>
      </c>
    </row>
    <row r="31" spans="1:13" x14ac:dyDescent="0.3">
      <c r="A31" s="7">
        <v>191448</v>
      </c>
      <c r="B31" t="str">
        <v>Amcor Rigid Plastics</v>
      </c>
      <c r="C31" s="2">
        <v>2988</v>
      </c>
      <c r="D31" s="21">
        <v>46055</v>
      </c>
      <c r="E31" t="str">
        <v>Brent Schrader</v>
      </c>
      <c r="F31" s="21">
        <v>46070</v>
      </c>
      <c r="G31" s="26" t="str">
        <v/>
      </c>
      <c r="H31" s="24" t="str">
        <v/>
      </c>
      <c r="I31" s="2">
        <v>2988</v>
      </c>
      <c r="J31" s="19" t="str">
        <v>won</v>
      </c>
      <c r="K31" s="20" t="b">
        <v>0</v>
      </c>
      <c r="L31">
        <v>427650</v>
      </c>
      <c r="M31" s="21" t="str">
        <v/>
      </c>
    </row>
    <row r="32" spans="1:13" x14ac:dyDescent="0.3">
      <c r="A32" s="7">
        <v>191461</v>
      </c>
      <c r="B32" t="str">
        <v>National Beef / Iowa Premium</v>
      </c>
      <c r="C32" s="2">
        <v>1529.88</v>
      </c>
      <c r="D32" s="21">
        <v>46055</v>
      </c>
      <c r="E32" t="str">
        <v>Brent Schrader</v>
      </c>
      <c r="F32" s="21">
        <v>46070</v>
      </c>
      <c r="G32" s="26" t="str">
        <v/>
      </c>
      <c r="H32" s="24" t="str">
        <v/>
      </c>
      <c r="I32" s="2">
        <v>1530</v>
      </c>
      <c r="J32" s="19" t="str">
        <v>won</v>
      </c>
      <c r="K32" s="20" t="b">
        <v>0</v>
      </c>
      <c r="L32">
        <v>427623</v>
      </c>
      <c r="M32" s="21" t="str">
        <v/>
      </c>
    </row>
    <row r="33" spans="1:13" x14ac:dyDescent="0.3">
      <c r="A33" s="7">
        <v>191458</v>
      </c>
      <c r="B33" t="str">
        <v>Niagara Bottling LLC</v>
      </c>
      <c r="C33" s="2">
        <v>14262</v>
      </c>
      <c r="D33" s="21">
        <v>46055</v>
      </c>
      <c r="E33" t="str">
        <v>Brent Schrader</v>
      </c>
      <c r="F33" s="21">
        <v>46070</v>
      </c>
      <c r="G33" s="26" t="str">
        <v>briabrown@niagarawater.com</v>
      </c>
      <c r="H33" s="24" t="str">
        <v/>
      </c>
      <c r="I33" s="2" t="str">
        <v/>
      </c>
      <c r="J33" s="19" t="str">
        <v/>
      </c>
      <c r="K33" s="20" t="b">
        <v>0</v>
      </c>
      <c r="L33" t="str">
        <v>sent email</v>
      </c>
      <c r="M33" s="21" t="str">
        <v/>
      </c>
    </row>
    <row r="34" spans="1:13" x14ac:dyDescent="0.3">
      <c r="A34" s="7">
        <v>191449</v>
      </c>
      <c r="B34" t="str">
        <v>PLZ Corp/Follmer Dev/Chicago Aerosol</v>
      </c>
      <c r="C34" s="2">
        <v>2014</v>
      </c>
      <c r="D34" s="21">
        <v>46055</v>
      </c>
      <c r="E34" t="str">
        <v>Brent Schrader</v>
      </c>
      <c r="F34" s="21">
        <v>46070</v>
      </c>
      <c r="G34" s="26" t="str">
        <v/>
      </c>
      <c r="H34" s="24" t="str">
        <v/>
      </c>
      <c r="I34" s="2">
        <v>2014</v>
      </c>
      <c r="J34" s="19" t="str">
        <v>won</v>
      </c>
      <c r="K34" s="20" t="b">
        <v>0</v>
      </c>
      <c r="L34">
        <v>427646</v>
      </c>
      <c r="M34" s="21" t="str">
        <v/>
      </c>
    </row>
    <row r="35" spans="1:13" x14ac:dyDescent="0.3">
      <c r="A35" s="7">
        <v>191464</v>
      </c>
      <c r="B35" t="str">
        <v>Ventura Foods</v>
      </c>
      <c r="C35" s="2">
        <v>1976.83</v>
      </c>
      <c r="D35" s="21">
        <v>46055</v>
      </c>
      <c r="E35" t="str">
        <v>Brent Schrader</v>
      </c>
      <c r="F35" s="21">
        <v>46070</v>
      </c>
      <c r="G35" s="26" t="str">
        <v/>
      </c>
      <c r="H35" s="24" t="str">
        <v/>
      </c>
      <c r="I35" s="2">
        <v>1977</v>
      </c>
      <c r="J35" s="19" t="str">
        <v>won</v>
      </c>
      <c r="K35" s="20" t="b">
        <v>0</v>
      </c>
      <c r="L35">
        <v>427637</v>
      </c>
      <c r="M35" s="21" t="str">
        <v/>
      </c>
    </row>
    <row r="36" spans="1:13" x14ac:dyDescent="0.3">
      <c r="A36" s="7">
        <v>191448</v>
      </c>
      <c r="B36" t="str">
        <v>Amcor Rigid Plastics</v>
      </c>
      <c r="C36" s="2">
        <v>2988</v>
      </c>
      <c r="D36" s="21">
        <v>46055</v>
      </c>
      <c r="E36" t="str">
        <v>Brent Schrader</v>
      </c>
      <c r="F36" s="21">
        <v>46079</v>
      </c>
      <c r="G36" s="26" t="str">
        <v/>
      </c>
      <c r="H36" s="24" t="str">
        <v/>
      </c>
      <c r="I36" s="2">
        <v>2988</v>
      </c>
      <c r="J36" s="19" t="str">
        <v>won</v>
      </c>
      <c r="K36" s="20" t="b">
        <v>0</v>
      </c>
      <c r="L36">
        <v>427650</v>
      </c>
      <c r="M36" s="21" t="str">
        <v/>
      </c>
    </row>
    <row r="37" spans="1:13" x14ac:dyDescent="0.3">
      <c r="A37" s="7">
        <v>191461</v>
      </c>
      <c r="B37" t="str">
        <v>National Beef / Iowa Premium</v>
      </c>
      <c r="C37" s="2">
        <v>1529.88</v>
      </c>
      <c r="D37" s="21">
        <v>46055</v>
      </c>
      <c r="E37" t="str">
        <v>Brent Schrader</v>
      </c>
      <c r="F37" s="21">
        <v>46079</v>
      </c>
      <c r="G37" s="26" t="str">
        <v/>
      </c>
      <c r="H37" s="24" t="str">
        <v/>
      </c>
      <c r="I37" s="2">
        <v>1630</v>
      </c>
      <c r="J37" s="19" t="str">
        <v>won</v>
      </c>
      <c r="K37" s="20" t="b">
        <v>0</v>
      </c>
      <c r="L37">
        <v>427623</v>
      </c>
      <c r="M37" s="21" t="str">
        <v/>
      </c>
    </row>
    <row r="38" spans="1:13" x14ac:dyDescent="0.3">
      <c r="A38" s="7">
        <v>191458</v>
      </c>
      <c r="B38" t="str">
        <v>Niagara Bottling LLC</v>
      </c>
      <c r="C38" s="2">
        <v>14262</v>
      </c>
      <c r="D38" s="21">
        <v>46055</v>
      </c>
      <c r="E38" t="str">
        <v>Brent Schrader</v>
      </c>
      <c r="F38" s="21">
        <v>46079</v>
      </c>
      <c r="G38" s="26" t="str">
        <v>briabrown@niagarawater.com</v>
      </c>
      <c r="H38" s="24" t="str">
        <v/>
      </c>
      <c r="I38" s="2" t="str">
        <v/>
      </c>
      <c r="J38" s="19" t="str">
        <v/>
      </c>
      <c r="K38" s="20" t="b">
        <v>0</v>
      </c>
      <c r="L38" t="str">
        <v>sent email 2nd email sent</v>
      </c>
      <c r="M38" s="21" t="str">
        <v/>
      </c>
    </row>
    <row r="39" spans="1:13" x14ac:dyDescent="0.3">
      <c r="A39" s="7">
        <v>191449</v>
      </c>
      <c r="B39" t="str">
        <v>PLZ Corp/Follmer Dev/Chicago Aerosol</v>
      </c>
      <c r="C39" s="2">
        <v>2014</v>
      </c>
      <c r="D39" s="21">
        <v>46055</v>
      </c>
      <c r="E39" t="str">
        <v>Brent Schrader</v>
      </c>
      <c r="F39" s="21">
        <v>46079</v>
      </c>
      <c r="G39" s="26" t="str">
        <v/>
      </c>
      <c r="H39" s="24" t="str">
        <v/>
      </c>
      <c r="I39" s="2">
        <v>2014</v>
      </c>
      <c r="J39" s="19" t="str">
        <v>won</v>
      </c>
      <c r="K39" s="20" t="b">
        <v>0</v>
      </c>
      <c r="L39">
        <v>427646</v>
      </c>
      <c r="M39" s="21" t="str">
        <v/>
      </c>
    </row>
    <row r="40" spans="1:13" x14ac:dyDescent="0.3">
      <c r="A40" s="7">
        <v>191464</v>
      </c>
      <c r="B40" t="str">
        <v>Ventura Foods</v>
      </c>
      <c r="C40" s="2">
        <v>1976.83</v>
      </c>
      <c r="D40" s="21">
        <v>46055</v>
      </c>
      <c r="E40" t="str">
        <v>Brent Schrader</v>
      </c>
      <c r="F40" s="21">
        <v>46079</v>
      </c>
      <c r="G40" s="26" t="str">
        <v/>
      </c>
      <c r="H40" s="24" t="str">
        <v/>
      </c>
      <c r="I40" s="2">
        <v>1977</v>
      </c>
      <c r="J40" s="19" t="str">
        <v>won</v>
      </c>
      <c r="K40" s="20" t="b">
        <v>0</v>
      </c>
      <c r="L40">
        <v>427637</v>
      </c>
      <c r="M40" s="21" t="str">
        <v/>
      </c>
    </row>
    <row r="41" spans="1:13" x14ac:dyDescent="0.3">
      <c r="A41" s="7">
        <v>191480</v>
      </c>
      <c r="B41" t="str">
        <v>JBS USA</v>
      </c>
      <c r="C41" s="2">
        <v>1639</v>
      </c>
      <c r="D41" s="21">
        <v>46056</v>
      </c>
      <c r="E41" t="str">
        <v>Brent Schrader</v>
      </c>
      <c r="F41" s="21">
        <v>46070</v>
      </c>
      <c r="G41" s="26" t="str">
        <v>Diedra.Henderson@pilgrims.com'</v>
      </c>
      <c r="H41" s="24" t="str">
        <v/>
      </c>
      <c r="I41" s="2" t="str">
        <v/>
      </c>
      <c r="J41" s="19" t="str">
        <v/>
      </c>
      <c r="K41" s="20" t="b">
        <v>0</v>
      </c>
      <c r="L41" t="str">
        <v>sent email</v>
      </c>
      <c r="M41" s="21" t="str">
        <v/>
      </c>
    </row>
    <row r="42" spans="1:13" x14ac:dyDescent="0.3">
      <c r="A42" s="7">
        <v>191490</v>
      </c>
      <c r="B42" t="str">
        <v>Tyson Foods, Inc. HQ</v>
      </c>
      <c r="C42" s="2">
        <v>2093</v>
      </c>
      <c r="D42" s="21">
        <v>46056</v>
      </c>
      <c r="E42" t="str">
        <v>Brent Schrader</v>
      </c>
      <c r="F42" s="21">
        <v>46070</v>
      </c>
      <c r="G42" s="26" t="str">
        <v/>
      </c>
      <c r="H42" s="24" t="str">
        <v/>
      </c>
      <c r="I42" s="2">
        <v>2093</v>
      </c>
      <c r="J42" s="19" t="str">
        <v>won</v>
      </c>
      <c r="K42" s="20" t="b">
        <v>0</v>
      </c>
      <c r="L42">
        <v>427844</v>
      </c>
      <c r="M42" s="21" t="str">
        <v/>
      </c>
    </row>
    <row r="43" spans="1:13" x14ac:dyDescent="0.3">
      <c r="A43" s="7">
        <v>191480</v>
      </c>
      <c r="B43" t="str">
        <v>JBS USA</v>
      </c>
      <c r="C43" s="2">
        <v>1639</v>
      </c>
      <c r="D43" s="21">
        <v>46056</v>
      </c>
      <c r="E43" t="str">
        <v>Brent Schrader</v>
      </c>
      <c r="F43" s="21">
        <v>46079</v>
      </c>
      <c r="G43" s="26" t="str">
        <v/>
      </c>
      <c r="H43" s="24" t="str">
        <v/>
      </c>
      <c r="I43" s="2" t="str">
        <v/>
      </c>
      <c r="J43" s="19" t="str">
        <v/>
      </c>
      <c r="K43" s="20" t="b">
        <v>0</v>
      </c>
      <c r="L43" t="str">
        <v>Lost cust does not need</v>
      </c>
      <c r="M43" s="21" t="str">
        <v/>
      </c>
    </row>
    <row r="44" spans="1:13" x14ac:dyDescent="0.3">
      <c r="A44" s="7">
        <v>191490</v>
      </c>
      <c r="B44" t="str">
        <v>Tyson Foods, Inc. HQ</v>
      </c>
      <c r="C44" s="2">
        <v>2093</v>
      </c>
      <c r="D44" s="21">
        <v>46056</v>
      </c>
      <c r="E44" t="str">
        <v>Brent Schrader</v>
      </c>
      <c r="F44" s="21">
        <v>46079</v>
      </c>
      <c r="G44" s="26" t="str">
        <v/>
      </c>
      <c r="H44" s="24" t="str">
        <v/>
      </c>
      <c r="I44" s="2">
        <v>2093</v>
      </c>
      <c r="J44" s="19" t="str">
        <v>won</v>
      </c>
      <c r="K44" s="20" t="b">
        <v>0</v>
      </c>
      <c r="L44">
        <v>427844</v>
      </c>
      <c r="M44" s="21" t="str">
        <v/>
      </c>
    </row>
    <row r="45" spans="1:13" x14ac:dyDescent="0.3">
      <c r="A45" s="7">
        <v>191530</v>
      </c>
      <c r="B45" t="str">
        <v>Tyson Foods, Inc. HQ</v>
      </c>
      <c r="C45" s="2">
        <v>4901</v>
      </c>
      <c r="D45" s="21">
        <v>46057</v>
      </c>
      <c r="E45" t="str">
        <v>Brent Schrader</v>
      </c>
      <c r="F45" s="21">
        <v>46070</v>
      </c>
      <c r="G45" s="26" t="str">
        <v/>
      </c>
      <c r="H45" s="24" t="str">
        <v/>
      </c>
      <c r="I45" s="2">
        <v>4901</v>
      </c>
      <c r="J45" s="19" t="str">
        <v>won</v>
      </c>
      <c r="K45" s="20" t="b">
        <v>0</v>
      </c>
      <c r="L45">
        <v>428163</v>
      </c>
      <c r="M45" s="21" t="str">
        <v/>
      </c>
    </row>
    <row r="46" spans="1:13" x14ac:dyDescent="0.3">
      <c r="A46" s="7">
        <v>191530</v>
      </c>
      <c r="B46" t="str">
        <v>Tyson Foods, Inc. HQ</v>
      </c>
      <c r="C46" s="2">
        <v>4901</v>
      </c>
      <c r="D46" s="21">
        <v>46057</v>
      </c>
      <c r="E46" t="str">
        <v>Brent Schrader</v>
      </c>
      <c r="F46" s="21">
        <v>46079</v>
      </c>
      <c r="G46" s="26" t="str">
        <v/>
      </c>
      <c r="H46" s="24" t="str">
        <v/>
      </c>
      <c r="I46" s="2">
        <v>4901</v>
      </c>
      <c r="J46" s="19" t="str">
        <v>won</v>
      </c>
      <c r="K46" s="20" t="b">
        <v>0</v>
      </c>
      <c r="L46">
        <v>428163</v>
      </c>
      <c r="M46" s="21" t="str">
        <v/>
      </c>
    </row>
    <row r="47" spans="1:13" x14ac:dyDescent="0.3">
      <c r="A47" s="7">
        <v>191524</v>
      </c>
      <c r="B47" t="str">
        <v>B Braun Medical</v>
      </c>
      <c r="C47" s="2">
        <v>42812</v>
      </c>
      <c r="D47" s="21">
        <v>46058</v>
      </c>
      <c r="E47" t="str">
        <v>Brent Schrader</v>
      </c>
      <c r="F47" s="21">
        <v>46070</v>
      </c>
      <c r="G47" s="26" t="str">
        <v>steven.daly@bbraunusa.com</v>
      </c>
      <c r="H47" s="24" t="str">
        <v/>
      </c>
      <c r="I47" s="2" t="str">
        <v/>
      </c>
      <c r="J47" s="19" t="str">
        <v/>
      </c>
      <c r="K47" s="20" t="b">
        <v>0</v>
      </c>
      <c r="L47" t="str">
        <v>sent email</v>
      </c>
      <c r="M47" s="21" t="str">
        <v/>
      </c>
    </row>
    <row r="48" spans="1:13" x14ac:dyDescent="0.3">
      <c r="A48" s="7">
        <v>191561</v>
      </c>
      <c r="B48" t="str">
        <v>George Delallo Company</v>
      </c>
      <c r="C48" s="2">
        <v>2286</v>
      </c>
      <c r="D48" s="21">
        <v>46058</v>
      </c>
      <c r="E48" t="str">
        <v>Brent Schrader</v>
      </c>
      <c r="F48" s="21">
        <v>46070</v>
      </c>
      <c r="G48" s="26" t="str">
        <v>ronald.crofutt@delallo.com</v>
      </c>
      <c r="H48" s="24" t="str">
        <v/>
      </c>
      <c r="I48" s="2" t="str">
        <v/>
      </c>
      <c r="J48" s="19" t="str">
        <v/>
      </c>
      <c r="K48" s="20" t="b">
        <v>0</v>
      </c>
      <c r="L48" t="str">
        <v>sent email</v>
      </c>
      <c r="M48" s="21" t="str">
        <v/>
      </c>
    </row>
    <row r="49" spans="1:13" x14ac:dyDescent="0.3">
      <c r="A49" s="7">
        <v>191514</v>
      </c>
      <c r="B49" t="str">
        <v>Harmoni Inc dba Uncle Matt's Organic</v>
      </c>
      <c r="C49" s="2">
        <v>28825.23</v>
      </c>
      <c r="D49" s="21">
        <v>46058</v>
      </c>
      <c r="E49" t="str">
        <v>Brent Schrader</v>
      </c>
      <c r="F49" s="21">
        <v>46070</v>
      </c>
      <c r="G49" s="26" t="str">
        <v>Damien@unclematts.com</v>
      </c>
      <c r="H49" s="24" t="str">
        <v/>
      </c>
      <c r="I49" s="2" t="str">
        <v/>
      </c>
      <c r="J49" s="19" t="str">
        <v/>
      </c>
      <c r="K49" s="20" t="b">
        <v>0</v>
      </c>
      <c r="L49" t="str">
        <v>sent email</v>
      </c>
      <c r="M49" s="21" t="str">
        <v/>
      </c>
    </row>
    <row r="50" spans="1:13" x14ac:dyDescent="0.3">
      <c r="A50" s="7">
        <v>191584</v>
      </c>
      <c r="B50" t="str">
        <v>Harmoni Inc dba Uncle Matt's Organic</v>
      </c>
      <c r="C50" s="2">
        <v>2211.56</v>
      </c>
      <c r="D50" s="21">
        <v>46058</v>
      </c>
      <c r="E50" t="str">
        <v>Brent Schrader</v>
      </c>
      <c r="F50" s="21">
        <v>46070</v>
      </c>
      <c r="G50" s="26" t="str">
        <v/>
      </c>
      <c r="H50" s="24" t="str">
        <v/>
      </c>
      <c r="I50" s="2">
        <v>2212</v>
      </c>
      <c r="J50" s="19" t="str">
        <v>won</v>
      </c>
      <c r="K50" s="20" t="b">
        <v>0</v>
      </c>
      <c r="L50">
        <v>427864</v>
      </c>
      <c r="M50" s="21" t="str">
        <v/>
      </c>
    </row>
    <row r="51" spans="1:13" x14ac:dyDescent="0.3">
      <c r="A51" s="7">
        <v>191590</v>
      </c>
      <c r="B51" t="str">
        <v>Silgan Holdings</v>
      </c>
      <c r="C51" s="2">
        <v>1820</v>
      </c>
      <c r="D51" s="21">
        <v>46058</v>
      </c>
      <c r="E51" t="str">
        <v>Brent Schrader</v>
      </c>
      <c r="F51" s="21">
        <v>46070</v>
      </c>
      <c r="G51" s="26" t="str">
        <v/>
      </c>
      <c r="H51" s="24" t="str">
        <v/>
      </c>
      <c r="I51" s="2">
        <v>647</v>
      </c>
      <c r="J51" s="19" t="str">
        <v>won</v>
      </c>
      <c r="K51" s="20" t="b">
        <v>0</v>
      </c>
      <c r="L51">
        <v>427891</v>
      </c>
      <c r="M51" s="21" t="str">
        <v/>
      </c>
    </row>
    <row r="52" spans="1:13" x14ac:dyDescent="0.3">
      <c r="A52" s="7">
        <v>191573</v>
      </c>
      <c r="B52" t="str">
        <v>Tyson Foods, Inc. HQ</v>
      </c>
      <c r="C52" s="2">
        <v>2716</v>
      </c>
      <c r="D52" s="21">
        <v>46058</v>
      </c>
      <c r="E52" t="str">
        <v>Brent Schrader</v>
      </c>
      <c r="F52" s="21">
        <v>46070</v>
      </c>
      <c r="G52" s="26" t="str">
        <v/>
      </c>
      <c r="H52" s="24" t="str">
        <v/>
      </c>
      <c r="I52" s="2">
        <v>2716</v>
      </c>
      <c r="J52" s="19" t="str">
        <v>won</v>
      </c>
      <c r="K52" s="20" t="b">
        <v>0</v>
      </c>
      <c r="L52">
        <v>427818</v>
      </c>
      <c r="M52" s="21" t="str">
        <v/>
      </c>
    </row>
    <row r="53" spans="1:13" x14ac:dyDescent="0.3">
      <c r="A53" s="7">
        <v>191524</v>
      </c>
      <c r="B53" t="str">
        <v>B Braun Medical</v>
      </c>
      <c r="C53" s="2">
        <v>42812</v>
      </c>
      <c r="D53" s="21">
        <v>46058</v>
      </c>
      <c r="E53" t="str">
        <v>Brent Schrader</v>
      </c>
      <c r="F53" s="21">
        <v>46079</v>
      </c>
      <c r="G53" s="26" t="str">
        <v/>
      </c>
      <c r="H53" s="24" t="str">
        <v/>
      </c>
      <c r="I53" s="2" t="str">
        <v/>
      </c>
      <c r="J53" s="19" t="str">
        <v/>
      </c>
      <c r="K53" s="20" t="b">
        <v>0</v>
      </c>
      <c r="L53" t="str">
        <v>Lost cust does not need</v>
      </c>
      <c r="M53" s="21" t="str">
        <v/>
      </c>
    </row>
    <row r="54" spans="1:13" x14ac:dyDescent="0.3">
      <c r="A54" s="7">
        <v>191561</v>
      </c>
      <c r="B54" t="str">
        <v>George Delallo Company</v>
      </c>
      <c r="C54" s="2">
        <v>2286</v>
      </c>
      <c r="D54" s="21">
        <v>46058</v>
      </c>
      <c r="E54" t="str">
        <v>Brent Schrader</v>
      </c>
      <c r="F54" s="21">
        <v>46079</v>
      </c>
      <c r="G54" s="26" t="str">
        <v/>
      </c>
      <c r="H54" s="24" t="str">
        <v/>
      </c>
      <c r="I54" s="2">
        <v>2491</v>
      </c>
      <c r="J54" s="19" t="str">
        <v>won</v>
      </c>
      <c r="K54" s="20" t="b">
        <v>0</v>
      </c>
      <c r="L54">
        <v>428688</v>
      </c>
      <c r="M54" s="21" t="str">
        <v/>
      </c>
    </row>
    <row r="55" spans="1:13" x14ac:dyDescent="0.3">
      <c r="A55" s="7">
        <v>191514</v>
      </c>
      <c r="B55" t="str">
        <v>Harmoni Inc dba Uncle Matt's Organic</v>
      </c>
      <c r="C55" s="2">
        <v>28825.23</v>
      </c>
      <c r="D55" s="21">
        <v>46058</v>
      </c>
      <c r="E55" t="str">
        <v>Brent Schrader</v>
      </c>
      <c r="F55" s="21">
        <v>46079</v>
      </c>
      <c r="G55" s="26" t="str">
        <v/>
      </c>
      <c r="H55" s="24" t="str">
        <v/>
      </c>
      <c r="I55" s="2" t="str">
        <v/>
      </c>
      <c r="J55" s="19" t="str">
        <v/>
      </c>
      <c r="K55" s="20" t="b">
        <v>0</v>
      </c>
      <c r="L55" t="str">
        <v>sent email 2nd email sent</v>
      </c>
      <c r="M55" s="21" t="str">
        <v/>
      </c>
    </row>
    <row r="56" spans="1:13" x14ac:dyDescent="0.3">
      <c r="A56" s="7">
        <v>191584</v>
      </c>
      <c r="B56" t="str">
        <v>Harmoni Inc dba Uncle Matt's Organic</v>
      </c>
      <c r="C56" s="2">
        <v>2211.56</v>
      </c>
      <c r="D56" s="21">
        <v>46058</v>
      </c>
      <c r="E56" t="str">
        <v>Brent Schrader</v>
      </c>
      <c r="F56" s="21">
        <v>46079</v>
      </c>
      <c r="G56" s="26" t="str">
        <v/>
      </c>
      <c r="H56" s="24" t="str">
        <v/>
      </c>
      <c r="I56" s="2">
        <v>2212</v>
      </c>
      <c r="J56" s="19" t="str">
        <v>won</v>
      </c>
      <c r="K56" s="20" t="b">
        <v>1</v>
      </c>
      <c r="L56">
        <v>427864</v>
      </c>
      <c r="M56" s="21" t="str">
        <v/>
      </c>
    </row>
    <row r="57" spans="1:13" x14ac:dyDescent="0.3">
      <c r="A57" s="7">
        <v>191590</v>
      </c>
      <c r="B57" t="str">
        <v>Silgan Holdings</v>
      </c>
      <c r="C57" s="2">
        <v>1820</v>
      </c>
      <c r="D57" s="21">
        <v>46058</v>
      </c>
      <c r="E57" t="str">
        <v>Brent Schrader</v>
      </c>
      <c r="F57" s="21">
        <v>46079</v>
      </c>
      <c r="G57" s="26" t="str">
        <v/>
      </c>
      <c r="H57" s="24" t="str">
        <v/>
      </c>
      <c r="I57" s="2">
        <v>647</v>
      </c>
      <c r="J57" s="19" t="str">
        <v>won</v>
      </c>
      <c r="K57" s="20" t="b">
        <v>0</v>
      </c>
      <c r="L57">
        <v>427891</v>
      </c>
      <c r="M57" s="21" t="str">
        <v/>
      </c>
    </row>
    <row r="58" spans="1:13" x14ac:dyDescent="0.3">
      <c r="A58" s="7">
        <v>191573</v>
      </c>
      <c r="B58" t="str">
        <v>Tyson Foods, Inc. HQ</v>
      </c>
      <c r="C58" s="2">
        <v>2716</v>
      </c>
      <c r="D58" s="21">
        <v>46058</v>
      </c>
      <c r="E58" t="str">
        <v>Brent Schrader</v>
      </c>
      <c r="F58" s="21">
        <v>46079</v>
      </c>
      <c r="G58" s="26" t="str">
        <v/>
      </c>
      <c r="H58" s="24" t="str">
        <v/>
      </c>
      <c r="I58" s="2">
        <v>2716</v>
      </c>
      <c r="J58" s="19" t="str">
        <v>won</v>
      </c>
      <c r="K58" s="20" t="b">
        <v>0</v>
      </c>
      <c r="L58">
        <v>427818</v>
      </c>
      <c r="M58" s="21" t="str">
        <v/>
      </c>
    </row>
    <row r="59" spans="1:13" x14ac:dyDescent="0.3">
      <c r="A59" s="7">
        <v>191653</v>
      </c>
      <c r="B59" t="str">
        <v>Coca Cola</v>
      </c>
      <c r="C59" s="2">
        <v>97635</v>
      </c>
      <c r="D59" s="21">
        <v>46059</v>
      </c>
      <c r="E59" t="str">
        <v>Brent Schrader</v>
      </c>
      <c r="F59" s="21">
        <v>46070</v>
      </c>
      <c r="G59" s="26" t="str">
        <v>josefsanchez@coca-cola.com</v>
      </c>
      <c r="H59" s="24" t="str">
        <v/>
      </c>
      <c r="I59" s="2" t="str">
        <v/>
      </c>
      <c r="J59" s="19" t="str">
        <v/>
      </c>
      <c r="K59" s="20" t="b">
        <v>0</v>
      </c>
      <c r="L59" t="str">
        <v>sent email</v>
      </c>
      <c r="M59" s="21" t="str">
        <v/>
      </c>
    </row>
    <row r="60" spans="1:13" x14ac:dyDescent="0.3">
      <c r="A60" s="7">
        <v>191635</v>
      </c>
      <c r="B60" t="str">
        <v>High Desert Milk, Inc.</v>
      </c>
      <c r="C60" s="2">
        <v>6254</v>
      </c>
      <c r="D60" s="21">
        <v>46059</v>
      </c>
      <c r="E60" t="str">
        <v>Brent Schrader</v>
      </c>
      <c r="F60" s="21">
        <v>46070</v>
      </c>
      <c r="G60" s="26" t="str">
        <v>jgull@highdesertmilk.com</v>
      </c>
      <c r="H60" s="24" t="str">
        <v/>
      </c>
      <c r="I60" s="2" t="str">
        <v/>
      </c>
      <c r="J60" s="19" t="str">
        <v/>
      </c>
      <c r="K60" s="20" t="b">
        <v>0</v>
      </c>
      <c r="L60" t="str">
        <v>sent email</v>
      </c>
      <c r="M60" s="21" t="str">
        <v/>
      </c>
    </row>
    <row r="61" spans="1:13" x14ac:dyDescent="0.3">
      <c r="A61" s="7">
        <v>191609</v>
      </c>
      <c r="B61" t="str">
        <v>Leprino Foods Company</v>
      </c>
      <c r="C61" s="2">
        <v>2168.36</v>
      </c>
      <c r="D61" s="21">
        <v>46059</v>
      </c>
      <c r="E61" t="str">
        <v>Brent Schrader</v>
      </c>
      <c r="F61" s="21">
        <v>46072</v>
      </c>
      <c r="G61" s="26" t="str">
        <v>bhulse@leprino.com</v>
      </c>
      <c r="H61" s="24" t="str">
        <v/>
      </c>
      <c r="I61" s="2" t="str">
        <v/>
      </c>
      <c r="J61" s="19" t="str">
        <v/>
      </c>
      <c r="K61" s="20" t="b">
        <v>0</v>
      </c>
      <c r="L61" t="str">
        <v>sent email</v>
      </c>
      <c r="M61" s="21" t="str">
        <v/>
      </c>
    </row>
    <row r="62" spans="1:13" x14ac:dyDescent="0.3">
      <c r="A62" s="7">
        <v>191653</v>
      </c>
      <c r="B62" t="str">
        <v>Coca Cola</v>
      </c>
      <c r="C62" s="2">
        <v>97635</v>
      </c>
      <c r="D62" s="21">
        <v>46059</v>
      </c>
      <c r="E62" t="str">
        <v>Brent Schrader</v>
      </c>
      <c r="F62" s="21">
        <v>46079</v>
      </c>
      <c r="G62" s="26" t="str">
        <v/>
      </c>
      <c r="H62" s="24" t="str">
        <v/>
      </c>
      <c r="I62" s="2" t="str">
        <v/>
      </c>
      <c r="J62" s="19" t="str">
        <v/>
      </c>
      <c r="K62" s="20" t="b">
        <v>0</v>
      </c>
      <c r="L62" t="str">
        <v>lost, declined</v>
      </c>
      <c r="M62" s="21" t="str">
        <v/>
      </c>
    </row>
    <row r="63" spans="1:13" x14ac:dyDescent="0.3">
      <c r="A63" s="7">
        <v>191635</v>
      </c>
      <c r="B63" t="str">
        <v>High Desert Milk, Inc.</v>
      </c>
      <c r="C63" s="2">
        <v>6254</v>
      </c>
      <c r="D63" s="21">
        <v>46059</v>
      </c>
      <c r="E63" t="str">
        <v>Brent Schrader</v>
      </c>
      <c r="F63" s="21">
        <v>46079</v>
      </c>
      <c r="G63" s="26" t="str">
        <v/>
      </c>
      <c r="H63" s="24" t="str">
        <v/>
      </c>
      <c r="I63" s="2" t="str">
        <v/>
      </c>
      <c r="J63" s="19" t="str">
        <v/>
      </c>
      <c r="K63" s="20" t="b">
        <v>0</v>
      </c>
      <c r="L63" t="str">
        <v>waiting to hear from manager</v>
      </c>
      <c r="M63" s="21" t="str">
        <v/>
      </c>
    </row>
    <row r="64" spans="1:13" x14ac:dyDescent="0.3">
      <c r="A64" s="7">
        <v>191609</v>
      </c>
      <c r="B64" t="str">
        <v>Leprino Foods Company</v>
      </c>
      <c r="C64" s="2">
        <v>2168.36</v>
      </c>
      <c r="D64" s="21">
        <v>46059</v>
      </c>
      <c r="E64" t="str">
        <v>Brent Schrader</v>
      </c>
      <c r="F64" s="21">
        <v>46079</v>
      </c>
      <c r="G64" s="26" t="str">
        <v/>
      </c>
      <c r="H64" s="24" t="str">
        <v/>
      </c>
      <c r="I64" s="2" t="str">
        <v/>
      </c>
      <c r="J64" s="19" t="str">
        <v/>
      </c>
      <c r="K64" s="20" t="b">
        <v>0</v>
      </c>
      <c r="L64" t="str">
        <v>sent email 2nd email sent</v>
      </c>
      <c r="M64" s="21" t="str">
        <v/>
      </c>
    </row>
    <row r="65" spans="1:13" x14ac:dyDescent="0.3">
      <c r="A65" s="7">
        <v>191724</v>
      </c>
      <c r="B65" t="str">
        <v>Amcor / Berry Global Group</v>
      </c>
      <c r="C65" s="2">
        <v>1729.91</v>
      </c>
      <c r="D65" s="21">
        <v>46063</v>
      </c>
      <c r="E65" t="str">
        <v>Brent Schrader</v>
      </c>
      <c r="F65" s="21">
        <v>46072</v>
      </c>
      <c r="G65" s="26" t="str">
        <v>Michelle.Breter@amcor.com</v>
      </c>
      <c r="H65" s="24" t="str">
        <v/>
      </c>
      <c r="I65" s="2" t="str">
        <v/>
      </c>
      <c r="J65" s="19" t="str">
        <v/>
      </c>
      <c r="K65" s="20" t="b">
        <v>0</v>
      </c>
      <c r="L65" t="str">
        <v>sent email</v>
      </c>
      <c r="M65" s="21" t="str">
        <v/>
      </c>
    </row>
    <row r="66" spans="1:13" x14ac:dyDescent="0.3">
      <c r="A66" s="7">
        <v>191735</v>
      </c>
      <c r="B66" t="str">
        <v>Henkel</v>
      </c>
      <c r="C66" s="2">
        <v>3320.24</v>
      </c>
      <c r="D66" s="21">
        <v>46063</v>
      </c>
      <c r="E66" t="str">
        <v>Brent Schrader</v>
      </c>
      <c r="F66" s="21">
        <v>46072</v>
      </c>
      <c r="G66" s="26" t="str">
        <v>AARON.ZEPEDA@HENKEL.COM</v>
      </c>
      <c r="H66" s="24" t="str">
        <v/>
      </c>
      <c r="I66" s="2" t="str">
        <v/>
      </c>
      <c r="J66" s="19" t="str">
        <v/>
      </c>
      <c r="K66" s="20" t="b">
        <v>0</v>
      </c>
      <c r="L66" t="str">
        <v>sent email</v>
      </c>
      <c r="M66" s="21" t="str">
        <v/>
      </c>
    </row>
    <row r="67" spans="1:13" x14ac:dyDescent="0.3">
      <c r="A67" s="7">
        <v>191607</v>
      </c>
      <c r="B67" t="str">
        <v>JBS USA</v>
      </c>
      <c r="C67" s="2">
        <v>2130.92</v>
      </c>
      <c r="D67" s="21">
        <v>46063</v>
      </c>
      <c r="E67" t="str">
        <v>Brent Schrader</v>
      </c>
      <c r="F67" s="21">
        <v>46072</v>
      </c>
      <c r="G67" s="26" t="str">
        <v/>
      </c>
      <c r="H67" s="24" t="str">
        <v/>
      </c>
      <c r="I67" s="2">
        <v>2131</v>
      </c>
      <c r="J67" s="19" t="str">
        <v>won</v>
      </c>
      <c r="K67" s="20" t="b">
        <v>0</v>
      </c>
      <c r="L67">
        <v>518733</v>
      </c>
      <c r="M67" s="21" t="str">
        <v/>
      </c>
    </row>
    <row r="68" spans="1:13" x14ac:dyDescent="0.3">
      <c r="A68" s="7">
        <v>191618</v>
      </c>
      <c r="B68" t="str">
        <v>PepsiCo</v>
      </c>
      <c r="C68" s="2">
        <v>8494.89</v>
      </c>
      <c r="D68" s="21">
        <v>46063</v>
      </c>
      <c r="E68" t="str">
        <v>Brent Schrader</v>
      </c>
      <c r="F68" s="21">
        <v>46072</v>
      </c>
      <c r="G68" s="26" t="str">
        <v/>
      </c>
      <c r="H68" s="24" t="str">
        <v/>
      </c>
      <c r="I68" s="2">
        <v>8495</v>
      </c>
      <c r="J68" s="19" t="str">
        <v>won</v>
      </c>
      <c r="K68" s="20" t="b">
        <v>0</v>
      </c>
      <c r="L68">
        <v>428064</v>
      </c>
      <c r="M68" s="21" t="str">
        <v/>
      </c>
    </row>
    <row r="69" spans="1:13" x14ac:dyDescent="0.3">
      <c r="A69" s="7">
        <v>191721</v>
      </c>
      <c r="B69" t="str">
        <v>Tyson Foods, Inc. HQ</v>
      </c>
      <c r="C69" s="2">
        <v>4054</v>
      </c>
      <c r="D69" s="21">
        <v>46063</v>
      </c>
      <c r="E69" t="str">
        <v>Brent Schrader</v>
      </c>
      <c r="F69" s="21">
        <v>46072</v>
      </c>
      <c r="G69" s="26" t="str">
        <v>Joseph.Alesch@tyson.com</v>
      </c>
      <c r="H69" s="24" t="str">
        <v/>
      </c>
      <c r="I69" s="2" t="str">
        <v/>
      </c>
      <c r="J69" s="19" t="str">
        <v/>
      </c>
      <c r="K69" s="20" t="b">
        <v>0</v>
      </c>
      <c r="L69" t="str">
        <v>sent email</v>
      </c>
      <c r="M69" s="21" t="str">
        <v/>
      </c>
    </row>
    <row r="70" spans="1:13" x14ac:dyDescent="0.3">
      <c r="A70" s="7">
        <v>191719</v>
      </c>
      <c r="B70" t="str">
        <v>Unilever NA HQ</v>
      </c>
      <c r="C70" s="2">
        <v>1840</v>
      </c>
      <c r="D70" s="21">
        <v>46063</v>
      </c>
      <c r="E70" t="str">
        <v>Brent Schrader</v>
      </c>
      <c r="F70" s="21">
        <v>46072</v>
      </c>
      <c r="G70" s="26" t="str">
        <v>Jordan.Baugh@unilever.com</v>
      </c>
      <c r="H70" s="24" t="str">
        <v/>
      </c>
      <c r="I70" s="2" t="str">
        <v/>
      </c>
      <c r="J70" s="19" t="str">
        <v/>
      </c>
      <c r="K70" s="20" t="b">
        <v>0</v>
      </c>
      <c r="L70" t="str">
        <v>sent email</v>
      </c>
      <c r="M70" s="21" t="str">
        <v/>
      </c>
    </row>
    <row r="71" spans="1:13" x14ac:dyDescent="0.3">
      <c r="A71" s="7">
        <v>191724</v>
      </c>
      <c r="B71" t="str">
        <v>Amcor / Berry Global Group</v>
      </c>
      <c r="C71" s="2">
        <v>1729.91</v>
      </c>
      <c r="D71" s="21">
        <v>46063</v>
      </c>
      <c r="E71" t="str">
        <v>Brent Schrader</v>
      </c>
      <c r="F71" s="21">
        <v>46079</v>
      </c>
      <c r="G71" s="26" t="str">
        <v/>
      </c>
      <c r="H71" s="24" t="str">
        <v/>
      </c>
      <c r="I71" s="2" t="str">
        <v/>
      </c>
      <c r="J71" s="19" t="str">
        <v/>
      </c>
      <c r="K71" s="20" t="b">
        <v>0</v>
      </c>
      <c r="L71" t="str">
        <v>waiting for plant manager</v>
      </c>
      <c r="M71" s="21" t="str">
        <v/>
      </c>
    </row>
    <row r="72" spans="1:13" x14ac:dyDescent="0.3">
      <c r="A72" s="7">
        <v>191735</v>
      </c>
      <c r="B72" t="str">
        <v>Henkel</v>
      </c>
      <c r="C72" s="2">
        <v>3320.24</v>
      </c>
      <c r="D72" s="21">
        <v>46063</v>
      </c>
      <c r="E72" t="str">
        <v>Brent Schrader</v>
      </c>
      <c r="F72" s="21">
        <v>46079</v>
      </c>
      <c r="G72" s="26" t="str">
        <v/>
      </c>
      <c r="H72" s="24" t="str">
        <v/>
      </c>
      <c r="I72" s="2">
        <v>3321</v>
      </c>
      <c r="J72" s="19" t="str">
        <v>won</v>
      </c>
      <c r="K72" s="20" t="b">
        <v>1</v>
      </c>
      <c r="L72">
        <v>428780</v>
      </c>
      <c r="M72" s="21" t="str">
        <v/>
      </c>
    </row>
    <row r="73" spans="1:13" x14ac:dyDescent="0.3">
      <c r="A73" s="7">
        <v>191607</v>
      </c>
      <c r="B73" t="str">
        <v>JBS USA</v>
      </c>
      <c r="C73" s="2">
        <v>2130.92</v>
      </c>
      <c r="D73" s="21">
        <v>46063</v>
      </c>
      <c r="E73" t="str">
        <v>Brent Schrader</v>
      </c>
      <c r="F73" s="21">
        <v>46079</v>
      </c>
      <c r="G73" s="26" t="str">
        <v/>
      </c>
      <c r="H73" s="24" t="str">
        <v/>
      </c>
      <c r="I73" s="2">
        <v>2131</v>
      </c>
      <c r="J73" s="19" t="str">
        <v>won</v>
      </c>
      <c r="K73" s="20" t="b">
        <v>0</v>
      </c>
      <c r="L73">
        <v>428079</v>
      </c>
      <c r="M73" s="21" t="str">
        <v/>
      </c>
    </row>
    <row r="74" spans="1:13" x14ac:dyDescent="0.3">
      <c r="A74" s="7">
        <v>191618</v>
      </c>
      <c r="B74" t="str">
        <v>PepsiCo</v>
      </c>
      <c r="C74" s="2">
        <v>8494.89</v>
      </c>
      <c r="D74" s="21">
        <v>46063</v>
      </c>
      <c r="E74" t="str">
        <v>Brent Schrader</v>
      </c>
      <c r="F74" s="21">
        <v>46079</v>
      </c>
      <c r="G74" s="26" t="str">
        <v/>
      </c>
      <c r="H74" s="24" t="str">
        <v/>
      </c>
      <c r="I74" s="2">
        <v>8495</v>
      </c>
      <c r="J74" s="19" t="str">
        <v>won</v>
      </c>
      <c r="K74" s="20" t="b">
        <v>0</v>
      </c>
      <c r="L74">
        <v>428064</v>
      </c>
      <c r="M74" s="21" t="str">
        <v/>
      </c>
    </row>
    <row r="75" spans="1:13" x14ac:dyDescent="0.3">
      <c r="A75" s="7">
        <v>191721</v>
      </c>
      <c r="B75" t="str">
        <v>Tyson Foods, Inc. HQ</v>
      </c>
      <c r="C75" s="2">
        <v>4054</v>
      </c>
      <c r="D75" s="21">
        <v>46063</v>
      </c>
      <c r="E75" t="str">
        <v>Brent Schrader</v>
      </c>
      <c r="F75" s="21">
        <v>46079</v>
      </c>
      <c r="G75" s="26" t="str">
        <v>Joseph.Alesch@tyson.com</v>
      </c>
      <c r="H75" s="24" t="str">
        <v/>
      </c>
      <c r="I75" s="2" t="str">
        <v/>
      </c>
      <c r="J75" s="19" t="str">
        <v/>
      </c>
      <c r="K75" s="20" t="b">
        <v>0</v>
      </c>
      <c r="L75" t="str">
        <v>sent email</v>
      </c>
      <c r="M75" s="21" t="str">
        <v/>
      </c>
    </row>
    <row r="76" spans="1:13" x14ac:dyDescent="0.3">
      <c r="A76" s="7">
        <v>191719</v>
      </c>
      <c r="B76" t="str">
        <v>Unilever NA HQ</v>
      </c>
      <c r="C76" s="2">
        <v>1840</v>
      </c>
      <c r="D76" s="21">
        <v>46063</v>
      </c>
      <c r="E76" t="str">
        <v>Brent Schrader</v>
      </c>
      <c r="F76" s="21">
        <v>46079</v>
      </c>
      <c r="G76" s="26" t="str">
        <v/>
      </c>
      <c r="H76" s="24" t="str">
        <v/>
      </c>
      <c r="I76" s="2">
        <v>1840</v>
      </c>
      <c r="J76" s="19" t="str">
        <v>won</v>
      </c>
      <c r="K76" s="20" t="b">
        <v>0</v>
      </c>
      <c r="L76">
        <v>428141</v>
      </c>
      <c r="M76" s="21" t="str">
        <v/>
      </c>
    </row>
    <row r="77" spans="1:13" x14ac:dyDescent="0.3">
      <c r="A77" s="7">
        <v>191775</v>
      </c>
      <c r="B77" t="str">
        <v>ConAgra / Lamb Weston</v>
      </c>
      <c r="C77" s="2">
        <v>7191.86</v>
      </c>
      <c r="D77" s="21">
        <v>46064</v>
      </c>
      <c r="E77" t="str">
        <v>Brent Schrader</v>
      </c>
      <c r="F77" s="21">
        <v>46072</v>
      </c>
      <c r="G77" s="26" t="str">
        <v>Matthew.Hites@conagra.com</v>
      </c>
      <c r="H77" s="24" t="str">
        <v/>
      </c>
      <c r="I77" s="2" t="str">
        <v/>
      </c>
      <c r="J77" s="19" t="str">
        <v/>
      </c>
      <c r="K77" s="20" t="b">
        <v>0</v>
      </c>
      <c r="L77" t="str">
        <v>sent email</v>
      </c>
      <c r="M77" s="21" t="str">
        <v/>
      </c>
    </row>
    <row r="78" spans="1:13" x14ac:dyDescent="0.3">
      <c r="A78" s="7">
        <v>191770</v>
      </c>
      <c r="B78" t="str">
        <v>ConAgra / Lamb Weston</v>
      </c>
      <c r="C78" s="2">
        <v>4584.3599999999997</v>
      </c>
      <c r="D78" s="21">
        <v>46064</v>
      </c>
      <c r="E78" t="str">
        <v>Brent Schrader</v>
      </c>
      <c r="F78" s="21">
        <v>46072</v>
      </c>
      <c r="G78" s="26" t="str">
        <v>Eric.Coria@lambweston.com</v>
      </c>
      <c r="H78" s="24" t="str">
        <v/>
      </c>
      <c r="I78" s="2" t="str">
        <v/>
      </c>
      <c r="J78" s="19" t="str">
        <v/>
      </c>
      <c r="K78" s="20" t="b">
        <v>0</v>
      </c>
      <c r="L78" t="str">
        <v>sent email</v>
      </c>
      <c r="M78" s="21" t="str">
        <v/>
      </c>
    </row>
    <row r="79" spans="1:13" x14ac:dyDescent="0.3">
      <c r="A79" s="7">
        <v>191778</v>
      </c>
      <c r="B79" t="str">
        <v>Motion Industries</v>
      </c>
      <c r="C79" s="2">
        <v>1989.4</v>
      </c>
      <c r="D79" s="21">
        <v>46064</v>
      </c>
      <c r="E79" t="str">
        <v>Brent Schrader</v>
      </c>
      <c r="F79" s="21">
        <v>46072</v>
      </c>
      <c r="G79" s="26" t="str">
        <v>paula.patton@motion.com</v>
      </c>
      <c r="H79" s="24" t="str">
        <v/>
      </c>
      <c r="I79" s="2" t="str">
        <v/>
      </c>
      <c r="J79" s="19" t="str">
        <v/>
      </c>
      <c r="K79" s="20" t="b">
        <v>0</v>
      </c>
      <c r="L79" t="str">
        <v>sent email</v>
      </c>
      <c r="M79" s="21" t="str">
        <v/>
      </c>
    </row>
    <row r="80" spans="1:13" x14ac:dyDescent="0.3">
      <c r="A80" s="7">
        <v>191775</v>
      </c>
      <c r="B80" t="str">
        <v>ConAgra / Lamb Weston</v>
      </c>
      <c r="C80" s="2">
        <v>7191.86</v>
      </c>
      <c r="D80" s="21">
        <v>46064</v>
      </c>
      <c r="E80" t="str">
        <v>Brent Schrader</v>
      </c>
      <c r="F80" s="21">
        <v>46079</v>
      </c>
      <c r="G80" s="26" t="str">
        <v>Matthew.Hites@conagra.com</v>
      </c>
      <c r="H80" s="24" t="str">
        <v/>
      </c>
      <c r="I80" s="2" t="str">
        <v/>
      </c>
      <c r="J80" s="19" t="str">
        <v/>
      </c>
      <c r="K80" s="20" t="b">
        <v>0</v>
      </c>
      <c r="L80" t="str">
        <v>sent email 2nd email sent</v>
      </c>
      <c r="M80" s="21" t="str">
        <v/>
      </c>
    </row>
    <row r="81" spans="1:13" x14ac:dyDescent="0.3">
      <c r="A81" s="7">
        <v>191770</v>
      </c>
      <c r="B81" t="str">
        <v>ConAgra / Lamb Weston</v>
      </c>
      <c r="C81" s="2">
        <v>4584.3599999999997</v>
      </c>
      <c r="D81" s="21">
        <v>46064</v>
      </c>
      <c r="E81" t="str">
        <v>Brent Schrader</v>
      </c>
      <c r="F81" s="21">
        <v>46079</v>
      </c>
      <c r="G81" s="26" t="str">
        <v/>
      </c>
      <c r="H81" s="24" t="str">
        <v/>
      </c>
      <c r="I81" s="2" t="str">
        <v/>
      </c>
      <c r="J81" s="19" t="str">
        <v/>
      </c>
      <c r="K81" s="20" t="b">
        <v>0</v>
      </c>
      <c r="L81" t="str">
        <v>sent email</v>
      </c>
      <c r="M81" s="21" t="str">
        <v/>
      </c>
    </row>
    <row r="82" spans="1:13" x14ac:dyDescent="0.3">
      <c r="A82" s="7">
        <v>191778</v>
      </c>
      <c r="B82" t="str">
        <v>Motion Industries</v>
      </c>
      <c r="C82" s="2">
        <v>1989.4</v>
      </c>
      <c r="D82" s="21">
        <v>46064</v>
      </c>
      <c r="E82" t="str">
        <v>Brent Schrader</v>
      </c>
      <c r="F82" s="21">
        <v>46079</v>
      </c>
      <c r="G82" s="26" t="str">
        <v/>
      </c>
      <c r="H82" s="24" t="str">
        <v/>
      </c>
      <c r="I82" s="2" t="str">
        <v/>
      </c>
      <c r="J82" s="19" t="str">
        <v/>
      </c>
      <c r="K82" s="20" t="b">
        <v>0</v>
      </c>
      <c r="L82" t="str">
        <v>waiting to hear from customer</v>
      </c>
      <c r="M82" s="21" t="str">
        <v/>
      </c>
    </row>
    <row r="83" spans="1:13" x14ac:dyDescent="0.3">
      <c r="A83" s="7">
        <v>191878</v>
      </c>
      <c r="B83" t="str">
        <v>Colgate-Palmolive/Hill's Pet/Red Collar</v>
      </c>
      <c r="C83" s="2">
        <v>3960.18</v>
      </c>
      <c r="D83" s="21">
        <v>46066</v>
      </c>
      <c r="E83" t="str">
        <v>Brent Schrader</v>
      </c>
      <c r="F83" s="21">
        <v>46073</v>
      </c>
      <c r="G83" s="26" t="str">
        <v/>
      </c>
      <c r="H83" s="24" t="str">
        <v/>
      </c>
      <c r="I83" s="2">
        <v>3961</v>
      </c>
      <c r="J83" s="19" t="str">
        <v>won</v>
      </c>
      <c r="K83" s="20" t="b">
        <v>0</v>
      </c>
      <c r="L83">
        <v>428292</v>
      </c>
      <c r="M83" s="21" t="str">
        <v/>
      </c>
    </row>
    <row r="84" spans="1:13" x14ac:dyDescent="0.3">
      <c r="A84" s="7">
        <v>191873</v>
      </c>
      <c r="B84" t="str">
        <v>Post Brands / Mom Brands</v>
      </c>
      <c r="C84" s="2">
        <v>3750</v>
      </c>
      <c r="D84" s="21">
        <v>46066</v>
      </c>
      <c r="E84" t="str">
        <v>Brent Schrader</v>
      </c>
      <c r="F84" s="21">
        <v>46073</v>
      </c>
      <c r="G84" s="26" t="str">
        <v/>
      </c>
      <c r="H84" s="24" t="str">
        <v/>
      </c>
      <c r="I84" s="2">
        <v>3750</v>
      </c>
      <c r="J84" s="19" t="str">
        <v>won</v>
      </c>
      <c r="K84" s="20" t="b">
        <v>0</v>
      </c>
      <c r="L84">
        <v>428224</v>
      </c>
      <c r="M84" s="21" t="str">
        <v/>
      </c>
    </row>
    <row r="85" spans="1:13" x14ac:dyDescent="0.3">
      <c r="A85" s="7">
        <v>191876</v>
      </c>
      <c r="B85" t="str">
        <v>S.C. Johnson &amp; Son</v>
      </c>
      <c r="C85" s="2">
        <v>5390</v>
      </c>
      <c r="D85" s="21">
        <v>46066</v>
      </c>
      <c r="E85" t="str">
        <v>Brent Schrader</v>
      </c>
      <c r="F85" s="21">
        <v>46073</v>
      </c>
      <c r="G85" s="26" t="str">
        <v/>
      </c>
      <c r="H85" s="24" t="str">
        <v/>
      </c>
      <c r="I85" s="2">
        <v>4772</v>
      </c>
      <c r="J85" s="19" t="str">
        <v>won</v>
      </c>
      <c r="K85" s="20" t="b">
        <v>0</v>
      </c>
      <c r="L85">
        <v>428349</v>
      </c>
      <c r="M85" s="21" t="str">
        <v/>
      </c>
    </row>
    <row r="86" spans="1:13" x14ac:dyDescent="0.3">
      <c r="A86" s="7">
        <v>191816</v>
      </c>
      <c r="B86" t="str">
        <v>Sun Valley Raisins, Inc.</v>
      </c>
      <c r="C86" s="2">
        <v>2735</v>
      </c>
      <c r="D86" s="21">
        <v>46066</v>
      </c>
      <c r="E86" t="str">
        <v>Brent Schrader</v>
      </c>
      <c r="F86" s="21">
        <v>46073</v>
      </c>
      <c r="G86" s="26" t="str">
        <v/>
      </c>
      <c r="H86" s="24" t="str">
        <v/>
      </c>
      <c r="I86" s="2">
        <v>2735</v>
      </c>
      <c r="J86" s="19" t="str">
        <v>won</v>
      </c>
      <c r="K86" s="20" t="b">
        <v>0</v>
      </c>
      <c r="L86">
        <v>428264</v>
      </c>
      <c r="M86" s="21" t="str">
        <v/>
      </c>
    </row>
    <row r="87" spans="1:13" x14ac:dyDescent="0.3">
      <c r="A87" s="7">
        <v>191899</v>
      </c>
      <c r="B87" t="str">
        <v>Tree Top</v>
      </c>
      <c r="C87" s="2">
        <v>8132.55</v>
      </c>
      <c r="D87" s="21">
        <v>46066</v>
      </c>
      <c r="E87" t="str">
        <v>Brent Schrader</v>
      </c>
      <c r="F87" s="21">
        <v>46073</v>
      </c>
      <c r="G87" s="26" t="str">
        <v>Cece.Harwood@treetop.com</v>
      </c>
      <c r="H87" s="24" t="str">
        <v/>
      </c>
      <c r="I87" s="2" t="str">
        <v/>
      </c>
      <c r="J87" s="19" t="str">
        <v/>
      </c>
      <c r="K87" s="20" t="b">
        <v>0</v>
      </c>
      <c r="L87" t="str">
        <v>sent email</v>
      </c>
      <c r="M87" s="21" t="str">
        <v/>
      </c>
    </row>
    <row r="88" spans="1:13" x14ac:dyDescent="0.3">
      <c r="A88" s="7">
        <v>191878</v>
      </c>
      <c r="B88" t="str">
        <v>Colgate-Palmolive/Hill's Pet/Red Collar</v>
      </c>
      <c r="C88" s="2">
        <v>3960.18</v>
      </c>
      <c r="D88" s="21">
        <v>46066</v>
      </c>
      <c r="E88" t="str">
        <v>Brent Schrader</v>
      </c>
      <c r="F88" s="21">
        <v>46079</v>
      </c>
      <c r="G88" s="26" t="str">
        <v/>
      </c>
      <c r="H88" s="24" t="str">
        <v/>
      </c>
      <c r="I88" s="2">
        <v>3961</v>
      </c>
      <c r="J88" s="19" t="str">
        <v>won</v>
      </c>
      <c r="K88" s="20" t="b">
        <v>0</v>
      </c>
      <c r="L88">
        <v>428292</v>
      </c>
      <c r="M88" s="21" t="str">
        <v/>
      </c>
    </row>
    <row r="89" spans="1:13" x14ac:dyDescent="0.3">
      <c r="A89" s="7">
        <v>191873</v>
      </c>
      <c r="B89" t="str">
        <v>Post Brands / Mom Brands</v>
      </c>
      <c r="C89" s="2">
        <v>3750</v>
      </c>
      <c r="D89" s="21">
        <v>46066</v>
      </c>
      <c r="E89" t="str">
        <v>Brent Schrader</v>
      </c>
      <c r="F89" s="21">
        <v>46079</v>
      </c>
      <c r="G89" s="26" t="str">
        <v/>
      </c>
      <c r="H89" s="24" t="str">
        <v/>
      </c>
      <c r="I89" s="2">
        <v>3750</v>
      </c>
      <c r="J89" s="19" t="str">
        <v>won</v>
      </c>
      <c r="K89" s="20" t="b">
        <v>0</v>
      </c>
      <c r="L89">
        <v>428224</v>
      </c>
      <c r="M89" s="21" t="str">
        <v/>
      </c>
    </row>
    <row r="90" spans="1:13" x14ac:dyDescent="0.3">
      <c r="A90" s="7">
        <v>191876</v>
      </c>
      <c r="B90" t="str">
        <v>S.C. Johnson &amp; Son</v>
      </c>
      <c r="C90" s="2">
        <v>5390</v>
      </c>
      <c r="D90" s="21">
        <v>46066</v>
      </c>
      <c r="E90" t="str">
        <v>Brent Schrader</v>
      </c>
      <c r="F90" s="21">
        <v>46079</v>
      </c>
      <c r="G90" s="26" t="str">
        <v/>
      </c>
      <c r="H90" s="24" t="str">
        <v/>
      </c>
      <c r="I90" s="2">
        <v>4772</v>
      </c>
      <c r="J90" s="19" t="str">
        <v>won</v>
      </c>
      <c r="K90" s="20" t="b">
        <v>0</v>
      </c>
      <c r="L90">
        <v>428349</v>
      </c>
      <c r="M90" s="21" t="str">
        <v/>
      </c>
    </row>
    <row r="91" spans="1:13" x14ac:dyDescent="0.3">
      <c r="A91" s="7">
        <v>191816</v>
      </c>
      <c r="B91" t="str">
        <v>Sun Valley Raisins, Inc.</v>
      </c>
      <c r="C91" s="2">
        <v>2735</v>
      </c>
      <c r="D91" s="21">
        <v>46066</v>
      </c>
      <c r="E91" t="str">
        <v>Brent Schrader</v>
      </c>
      <c r="F91" s="21">
        <v>46079</v>
      </c>
      <c r="G91" s="26" t="str">
        <v/>
      </c>
      <c r="H91" s="24" t="str">
        <v/>
      </c>
      <c r="I91" s="2">
        <v>2735</v>
      </c>
      <c r="J91" s="19" t="str">
        <v>won</v>
      </c>
      <c r="K91" s="20" t="b">
        <v>0</v>
      </c>
      <c r="L91">
        <v>428264</v>
      </c>
      <c r="M91" s="21" t="str">
        <v/>
      </c>
    </row>
    <row r="92" spans="1:13" x14ac:dyDescent="0.3">
      <c r="A92" s="7">
        <v>191899</v>
      </c>
      <c r="B92" t="str">
        <v>Tree Top</v>
      </c>
      <c r="C92" s="2">
        <v>8132.55</v>
      </c>
      <c r="D92" s="21">
        <v>46066</v>
      </c>
      <c r="E92" t="str">
        <v>Brent Schrader</v>
      </c>
      <c r="F92" s="21">
        <v>46079</v>
      </c>
      <c r="G92" s="26" t="str">
        <v>Cece.Harwood@treetop.com</v>
      </c>
      <c r="H92" s="24" t="str">
        <v/>
      </c>
      <c r="I92" s="2" t="str">
        <v/>
      </c>
      <c r="J92" s="19" t="str">
        <v/>
      </c>
      <c r="K92" s="20" t="b">
        <v>0</v>
      </c>
      <c r="L92" t="str">
        <v>sent email 2nd email sent</v>
      </c>
      <c r="M92" s="21" t="str">
        <v/>
      </c>
    </row>
    <row r="93" spans="1:13" x14ac:dyDescent="0.3">
      <c r="A93" s="7">
        <v>191455</v>
      </c>
      <c r="B93" t="str">
        <v>Amcor / Berry Global Group</v>
      </c>
      <c r="C93" s="2">
        <v>8612.44</v>
      </c>
      <c r="D93" s="21" t="str">
        <v/>
      </c>
      <c r="E93" t="str">
        <v>Brent Schrader</v>
      </c>
      <c r="F93" s="21">
        <v>46073</v>
      </c>
      <c r="G93" s="26" t="str">
        <v/>
      </c>
      <c r="H93" s="24" t="str">
        <v/>
      </c>
      <c r="I93" s="2" t="str">
        <v/>
      </c>
      <c r="J93" s="19" t="str">
        <v/>
      </c>
      <c r="K93" s="20" t="b">
        <v>0</v>
      </c>
      <c r="L93" t="str">
        <v/>
      </c>
      <c r="M93" s="21" t="str">
        <v/>
      </c>
    </row>
    <row r="94" spans="1:13" x14ac:dyDescent="0.3">
      <c r="A94" s="7">
        <v>191455</v>
      </c>
      <c r="B94" t="str">
        <v>Amcor / Berry Global Group</v>
      </c>
      <c r="C94" s="2">
        <v>8612.44</v>
      </c>
      <c r="D94" s="21">
        <v>46055</v>
      </c>
      <c r="E94" t="str">
        <v>Brent Schrader</v>
      </c>
      <c r="F94" s="21">
        <v>46079</v>
      </c>
      <c r="G94" s="26" t="str">
        <v>Kenneth.Rihel@amcor.com</v>
      </c>
      <c r="H94" s="24" t="str">
        <v/>
      </c>
      <c r="I94" s="2" t="str">
        <v/>
      </c>
      <c r="J94" s="19" t="str">
        <v/>
      </c>
      <c r="K94" s="20" t="b">
        <v>0</v>
      </c>
      <c r="L94" t="str">
        <v>sent email</v>
      </c>
      <c r="M94" s="21" t="str">
        <v/>
      </c>
    </row>
    <row r="95" spans="1:13" x14ac:dyDescent="0.3">
      <c r="A95" s="7">
        <v>191722</v>
      </c>
      <c r="B95" t="str">
        <v>ADAMA dba Makhteshim Agan of North America</v>
      </c>
      <c r="C95" s="2">
        <v>5957.55</v>
      </c>
      <c r="D95" s="21">
        <v>46063</v>
      </c>
      <c r="E95" t="str">
        <v>Eric Simpson</v>
      </c>
      <c r="F95" s="21">
        <v>46069</v>
      </c>
      <c r="G95" s="26" t="str">
        <v>Christopher Pearson &lt;christopher.pearson@adama.com&gt;</v>
      </c>
      <c r="H95" s="24" t="str">
        <v/>
      </c>
      <c r="I95" s="2">
        <v>5957.55</v>
      </c>
      <c r="J95" s="19" t="str">
        <v>Won</v>
      </c>
      <c r="K95" s="20" t="b">
        <v>0</v>
      </c>
      <c r="L95" t="str">
        <v>Already Ordered From the Webstore</v>
      </c>
      <c r="M95" s="21" t="str">
        <v/>
      </c>
    </row>
    <row r="96" spans="1:13" x14ac:dyDescent="0.3">
      <c r="A96" s="7">
        <v>191747</v>
      </c>
      <c r="B96" t="str">
        <v>Alpla</v>
      </c>
      <c r="C96" s="2">
        <v>2976.89</v>
      </c>
      <c r="D96" s="21">
        <v>46065</v>
      </c>
      <c r="E96" t="str">
        <v>Eric Simpson</v>
      </c>
      <c r="F96" s="21">
        <v>46069</v>
      </c>
      <c r="G96" s="26" t="str">
        <v/>
      </c>
      <c r="H96" s="24" t="str">
        <v/>
      </c>
      <c r="I96" s="2">
        <v>2976.89</v>
      </c>
      <c r="J96" s="19" t="str">
        <v>Won</v>
      </c>
      <c r="K96" s="20" t="b">
        <v>0</v>
      </c>
      <c r="L96" t="str">
        <v>Ordered on SO# 428153</v>
      </c>
      <c r="M96" s="21" t="str">
        <v/>
      </c>
    </row>
    <row r="97" spans="1:13" x14ac:dyDescent="0.3">
      <c r="A97" s="7">
        <v>191892</v>
      </c>
      <c r="B97" t="str">
        <v>Alpla</v>
      </c>
      <c r="C97" s="2">
        <v>2675.38</v>
      </c>
      <c r="D97" s="21">
        <v>46066</v>
      </c>
      <c r="E97" t="str">
        <v>Eric Simpson</v>
      </c>
      <c r="F97" s="21">
        <v>46069</v>
      </c>
      <c r="G97" s="26" t="str">
        <v>David.Mccollum@alpla.com</v>
      </c>
      <c r="H97" s="24" t="str">
        <v/>
      </c>
      <c r="I97" s="2" t="str">
        <v/>
      </c>
      <c r="J97" s="19" t="str">
        <v/>
      </c>
      <c r="K97" s="20" t="b">
        <v>0</v>
      </c>
      <c r="L97" t="str">
        <v>Sent Second Request</v>
      </c>
      <c r="M97" s="21" t="str">
        <v/>
      </c>
    </row>
    <row r="98" spans="1:13" x14ac:dyDescent="0.3">
      <c r="A98" s="7">
        <v>191457</v>
      </c>
      <c r="B98" t="str">
        <v>Amcor Rigid Plastics</v>
      </c>
      <c r="C98" s="2">
        <v>5422.38</v>
      </c>
      <c r="D98" s="21">
        <v>46055</v>
      </c>
      <c r="E98" t="str">
        <v>Eric Simpson</v>
      </c>
      <c r="F98" s="21">
        <v>46069</v>
      </c>
      <c r="G98" s="26" t="str">
        <v>Claycraig@berryglobal.com</v>
      </c>
      <c r="H98" s="24" t="str">
        <v>731-935-1395</v>
      </c>
      <c r="I98" s="2">
        <v>5422.38</v>
      </c>
      <c r="J98" s="19" t="str">
        <v>Won</v>
      </c>
      <c r="K98" s="20" t="b">
        <v>0</v>
      </c>
      <c r="L98" t="str">
        <v>Ordered on SO# 427649</v>
      </c>
      <c r="M98" s="21" t="str">
        <v/>
      </c>
    </row>
    <row r="99" spans="1:13" x14ac:dyDescent="0.3">
      <c r="A99" s="7">
        <v>191877</v>
      </c>
      <c r="B99" t="str">
        <v>Aspire Bakeries</v>
      </c>
      <c r="C99" s="2">
        <v>1788</v>
      </c>
      <c r="D99" s="21">
        <v>46066</v>
      </c>
      <c r="E99" t="str">
        <v>Eric Simpson</v>
      </c>
      <c r="F99" s="21">
        <v>46070</v>
      </c>
      <c r="G99" s="26" t="str">
        <v>Gary Marchetti</v>
      </c>
      <c r="H99" s="24" t="str">
        <v/>
      </c>
      <c r="I99" s="2">
        <v>1788</v>
      </c>
      <c r="J99" s="19" t="str">
        <v>Won</v>
      </c>
      <c r="K99" s="20" t="b">
        <v>0</v>
      </c>
      <c r="L99" t="str">
        <v>Ordered on SO# 428222</v>
      </c>
      <c r="M99" s="21" t="str">
        <v/>
      </c>
    </row>
    <row r="100" spans="1:13" x14ac:dyDescent="0.3">
      <c r="A100" s="7">
        <v>191880</v>
      </c>
      <c r="B100" t="str">
        <v>Burlington Coat Factory</v>
      </c>
      <c r="C100" s="2">
        <v>3862.94</v>
      </c>
      <c r="D100" s="21">
        <v>46066</v>
      </c>
      <c r="E100" t="str">
        <v>Eric Simpson</v>
      </c>
      <c r="F100" s="21">
        <v>46070</v>
      </c>
      <c r="G100" s="26" t="str">
        <v>Jasminne Sanchez</v>
      </c>
      <c r="H100" s="24" t="str">
        <v/>
      </c>
      <c r="I100" s="2" t="str">
        <v/>
      </c>
      <c r="J100" s="19" t="str">
        <v/>
      </c>
      <c r="K100" s="20" t="b">
        <v>0</v>
      </c>
      <c r="L100" t="str">
        <v>Sent Second Request</v>
      </c>
      <c r="M100" s="21" t="str">
        <v/>
      </c>
    </row>
    <row r="101" spans="1:13" x14ac:dyDescent="0.3">
      <c r="A101" s="7">
        <v>191881</v>
      </c>
      <c r="B101" t="str">
        <v>Burlington Coat Factory</v>
      </c>
      <c r="C101" s="2">
        <v>2365.5</v>
      </c>
      <c r="D101" s="21">
        <v>46066</v>
      </c>
      <c r="E101" t="str">
        <v>Eric Simpson</v>
      </c>
      <c r="F101" s="21">
        <v>46070</v>
      </c>
      <c r="G101" s="26" t="str">
        <v>Jasminne Sanchez</v>
      </c>
      <c r="H101" s="24" t="str">
        <v/>
      </c>
      <c r="I101" s="2" t="str">
        <v/>
      </c>
      <c r="J101" s="19" t="str">
        <v/>
      </c>
      <c r="K101" s="20" t="b">
        <v>0</v>
      </c>
      <c r="L101" t="str">
        <v>Sent Second Request</v>
      </c>
      <c r="M101" s="21" t="str">
        <v/>
      </c>
    </row>
    <row r="102" spans="1:13" x14ac:dyDescent="0.3">
      <c r="A102" s="7">
        <v>191459</v>
      </c>
      <c r="B102" t="str">
        <v>Church &amp; Dwight</v>
      </c>
      <c r="C102" s="2">
        <v>6508.2</v>
      </c>
      <c r="D102" s="21">
        <v>46055</v>
      </c>
      <c r="E102" t="str">
        <v>Eric Simpson</v>
      </c>
      <c r="F102" s="21">
        <v>46070</v>
      </c>
      <c r="G102" s="26" t="str">
        <v>Justin Lang</v>
      </c>
      <c r="H102" s="24" t="str">
        <v/>
      </c>
      <c r="I102" s="2">
        <v>6508.2</v>
      </c>
      <c r="J102" s="19" t="str">
        <v>Won</v>
      </c>
      <c r="K102" s="20" t="b">
        <v>0</v>
      </c>
      <c r="L102" t="str">
        <v>Ordered on SO# 427619</v>
      </c>
      <c r="M102" s="21" t="str">
        <v/>
      </c>
    </row>
    <row r="103" spans="1:13" x14ac:dyDescent="0.3">
      <c r="A103" s="7">
        <v>191828</v>
      </c>
      <c r="B103" t="str">
        <v>Country Pure Foods/Silver Springs Citrus</v>
      </c>
      <c r="C103" s="2">
        <v>2667.14</v>
      </c>
      <c r="D103" s="21">
        <v>46066</v>
      </c>
      <c r="E103" t="str">
        <v>Eric Simpson</v>
      </c>
      <c r="F103" s="21">
        <v>46070</v>
      </c>
      <c r="G103" s="26" t="str">
        <v>Kyle Valentin</v>
      </c>
      <c r="H103" s="24" t="str">
        <v/>
      </c>
      <c r="I103" s="2">
        <v>2667.14</v>
      </c>
      <c r="J103" s="19" t="str">
        <v>Won</v>
      </c>
      <c r="K103" s="20" t="b">
        <v>0</v>
      </c>
      <c r="L103" t="str">
        <v>Ordered on SO# 428234</v>
      </c>
      <c r="M103" s="21" t="str">
        <v/>
      </c>
    </row>
    <row r="104" spans="1:13" x14ac:dyDescent="0.3">
      <c r="A104" s="7">
        <v>191751</v>
      </c>
      <c r="B104" t="str">
        <v>Furmano Foods</v>
      </c>
      <c r="C104" s="2">
        <v>4299.68</v>
      </c>
      <c r="D104" s="21">
        <v>46065</v>
      </c>
      <c r="E104" t="str">
        <v>Eric Simpson</v>
      </c>
      <c r="F104" s="21">
        <v>46076</v>
      </c>
      <c r="G104" s="26" t="str">
        <v>Scott Fox</v>
      </c>
      <c r="H104" s="24" t="str">
        <v/>
      </c>
      <c r="I104" s="2">
        <v>4299.68</v>
      </c>
      <c r="J104" s="19" t="str">
        <v>Won</v>
      </c>
      <c r="K104" s="20" t="b">
        <v>0</v>
      </c>
      <c r="L104" t="str">
        <v>Ordered on SO# 428154</v>
      </c>
      <c r="M104" s="21" t="str">
        <v/>
      </c>
    </row>
    <row r="105" spans="1:13" x14ac:dyDescent="0.3">
      <c r="A105" s="7">
        <v>191817</v>
      </c>
      <c r="B105" t="str">
        <v>Gallo Glass / E&amp;J Gallo Winery / G3 Enterprises</v>
      </c>
      <c r="C105" s="2">
        <v>17508.439999999999</v>
      </c>
      <c r="D105" s="21">
        <v>46064</v>
      </c>
      <c r="E105" t="str">
        <v>Eric Simpson</v>
      </c>
      <c r="F105" s="21">
        <v>46076</v>
      </c>
      <c r="G105" s="26" t="str">
        <v>MARTY SHEEK</v>
      </c>
      <c r="H105" s="24" t="str">
        <v/>
      </c>
      <c r="I105" s="2" t="str">
        <v/>
      </c>
      <c r="J105" s="19" t="str">
        <v>Lost</v>
      </c>
      <c r="K105" s="20" t="b">
        <v>0</v>
      </c>
      <c r="L105" t="str">
        <v>Quote closed</v>
      </c>
      <c r="M105" s="21" t="str">
        <v/>
      </c>
    </row>
    <row r="106" spans="1:13" x14ac:dyDescent="0.3">
      <c r="A106" s="7">
        <v>191785</v>
      </c>
      <c r="B106" t="str">
        <v>Henkel</v>
      </c>
      <c r="C106" s="2">
        <v>1512</v>
      </c>
      <c r="D106" s="21">
        <v>46065</v>
      </c>
      <c r="E106" t="str">
        <v>Eric Simpson</v>
      </c>
      <c r="F106" s="21">
        <v>46076</v>
      </c>
      <c r="G106" s="26" t="str">
        <v>Jeffery Keeley</v>
      </c>
      <c r="H106" s="24" t="str">
        <v/>
      </c>
      <c r="I106" s="2">
        <v>1512</v>
      </c>
      <c r="J106" s="19" t="str">
        <v>Won</v>
      </c>
      <c r="K106" s="20" t="b">
        <v>0</v>
      </c>
      <c r="L106" t="str">
        <v>Ordered on SO# 428178</v>
      </c>
      <c r="M106" s="21" t="str">
        <v/>
      </c>
    </row>
    <row r="107" spans="1:13" x14ac:dyDescent="0.3">
      <c r="A107" s="7">
        <v>191840</v>
      </c>
      <c r="B107" t="str">
        <v>Ken's Foods, LLC</v>
      </c>
      <c r="C107" s="2">
        <v>4912.84</v>
      </c>
      <c r="D107" s="21">
        <v>46065</v>
      </c>
      <c r="E107" t="str">
        <v>Eric Simpson</v>
      </c>
      <c r="F107" s="21">
        <v>46076</v>
      </c>
      <c r="G107" s="26" t="str">
        <v/>
      </c>
      <c r="H107" s="24" t="str">
        <v/>
      </c>
      <c r="I107" s="2">
        <v>4912.84</v>
      </c>
      <c r="J107" s="19" t="str">
        <v>Won</v>
      </c>
      <c r="K107" s="20" t="b">
        <v>0</v>
      </c>
      <c r="L107" t="str">
        <v>Ordered on SO# 428179</v>
      </c>
      <c r="M107" s="21" t="str">
        <v/>
      </c>
    </row>
    <row r="108" spans="1:13" x14ac:dyDescent="0.3">
      <c r="A108" s="7">
        <v>191789</v>
      </c>
      <c r="B108" t="str">
        <v>Ocean Spray Cranberries</v>
      </c>
      <c r="C108" s="2">
        <v>2256</v>
      </c>
      <c r="D108" s="21">
        <v>46066</v>
      </c>
      <c r="E108" t="str">
        <v>Eric Simpson</v>
      </c>
      <c r="F108" s="21">
        <v>46076</v>
      </c>
      <c r="G108" s="26" t="str">
        <v>Jeff Bortz</v>
      </c>
      <c r="H108" s="24" t="str">
        <v/>
      </c>
      <c r="I108" s="2">
        <v>2256</v>
      </c>
      <c r="J108" s="19" t="str">
        <v>Won</v>
      </c>
      <c r="K108" s="20" t="b">
        <v>0</v>
      </c>
      <c r="L108" t="str">
        <v>Ordered on SO# 428274</v>
      </c>
      <c r="M108" s="21" t="str">
        <v/>
      </c>
    </row>
    <row r="109" spans="1:13" x14ac:dyDescent="0.3">
      <c r="A109" s="7">
        <v>191733</v>
      </c>
      <c r="B109" t="str">
        <v>Ryder Integrated Logistics / former Tech Packaging</v>
      </c>
      <c r="C109" s="2">
        <v>1847</v>
      </c>
      <c r="D109" s="21" t="str">
        <v/>
      </c>
      <c r="E109" t="str">
        <v>Eric Simpson</v>
      </c>
      <c r="F109" s="21">
        <v>46076</v>
      </c>
      <c r="G109" s="26" t="str">
        <v/>
      </c>
      <c r="H109" s="24" t="str">
        <v/>
      </c>
      <c r="I109" s="2" t="str">
        <v/>
      </c>
      <c r="J109" s="19" t="str">
        <v>Lost</v>
      </c>
      <c r="K109" s="20" t="b">
        <v>0</v>
      </c>
      <c r="L109" t="str">
        <v>Closed Quote</v>
      </c>
      <c r="M109" s="21" t="str">
        <v/>
      </c>
    </row>
    <row r="110" spans="1:13" x14ac:dyDescent="0.3">
      <c r="A110" s="7">
        <v>191777</v>
      </c>
      <c r="B110" t="str">
        <v>S.C. Johnson &amp; Son</v>
      </c>
      <c r="C110" s="2">
        <v>4553.38</v>
      </c>
      <c r="D110" s="21">
        <v>46065</v>
      </c>
      <c r="E110" t="str">
        <v>Eric Simpson</v>
      </c>
      <c r="F110" s="21">
        <v>46076</v>
      </c>
      <c r="G110" s="26" t="str">
        <v>Renee Frederick</v>
      </c>
      <c r="H110" s="24" t="str">
        <v/>
      </c>
      <c r="I110" s="2">
        <v>4553.38</v>
      </c>
      <c r="J110" s="19" t="str">
        <v>Won</v>
      </c>
      <c r="K110" s="20" t="b">
        <v>0</v>
      </c>
      <c r="L110" t="str">
        <v>Ordered on SO# 428208</v>
      </c>
      <c r="M110" s="21" t="str">
        <v/>
      </c>
    </row>
    <row r="111" spans="1:13" x14ac:dyDescent="0.3">
      <c r="A111" s="7">
        <v>191774</v>
      </c>
      <c r="B111" t="str">
        <v>S.C. Johnson &amp; Son</v>
      </c>
      <c r="C111" s="2">
        <v>1826.25</v>
      </c>
      <c r="D111" s="21">
        <v>46065</v>
      </c>
      <c r="E111" t="str">
        <v>Eric Simpson</v>
      </c>
      <c r="F111" s="21">
        <v>46076</v>
      </c>
      <c r="G111" s="26">
        <v>428213</v>
      </c>
      <c r="H111" s="24" t="str">
        <v/>
      </c>
      <c r="I111" s="2">
        <v>1826.25</v>
      </c>
      <c r="J111" s="19" t="str">
        <v>Won</v>
      </c>
      <c r="K111" s="20" t="b">
        <v>0</v>
      </c>
      <c r="L111" t="str">
        <v>Ordered on SO# 428213</v>
      </c>
      <c r="M111" s="21" t="str">
        <v/>
      </c>
    </row>
    <row r="112" spans="1:13" x14ac:dyDescent="0.3">
      <c r="A112" s="7">
        <v>191772</v>
      </c>
      <c r="B112" t="str">
        <v>Silgan Holdings</v>
      </c>
      <c r="C112" s="2">
        <v>1811</v>
      </c>
      <c r="D112" s="21">
        <v>46064</v>
      </c>
      <c r="E112" t="str">
        <v>Eric Simpson</v>
      </c>
      <c r="F112" s="21">
        <v>46076</v>
      </c>
      <c r="G112" s="26" t="str">
        <v>Justina Robbins</v>
      </c>
      <c r="H112" s="24" t="str">
        <v/>
      </c>
      <c r="I112" s="2" t="str">
        <v/>
      </c>
      <c r="J112" s="19" t="str">
        <v/>
      </c>
      <c r="K112" s="20" t="b">
        <v>0</v>
      </c>
      <c r="L112" t="str">
        <v>Sent Second Request</v>
      </c>
      <c r="M112" s="21" t="str">
        <v/>
      </c>
    </row>
    <row r="113" spans="1:13" x14ac:dyDescent="0.3">
      <c r="A113" s="7">
        <v>191779</v>
      </c>
      <c r="B113" t="str">
        <v>Spears Manufacturing Company</v>
      </c>
      <c r="C113" s="2">
        <v>4470</v>
      </c>
      <c r="D113" s="21">
        <v>46064</v>
      </c>
      <c r="E113" t="str">
        <v>Eric Simpson</v>
      </c>
      <c r="F113" s="21">
        <v>46076</v>
      </c>
      <c r="G113" s="26" t="str">
        <v>Ernie Garcia</v>
      </c>
      <c r="H113" s="24" t="str">
        <v/>
      </c>
      <c r="I113" s="2">
        <v>1282.25</v>
      </c>
      <c r="J113" s="19" t="str">
        <v>Won</v>
      </c>
      <c r="K113" s="20" t="b">
        <v>0</v>
      </c>
      <c r="L113" t="str">
        <v>Ordered on SO# 306674</v>
      </c>
      <c r="M113" s="21" t="str">
        <v/>
      </c>
    </row>
    <row r="114" spans="1:13" x14ac:dyDescent="0.3">
      <c r="A114" s="7">
        <v>191769</v>
      </c>
      <c r="B114" t="str">
        <v>Sustainable Beef LLC</v>
      </c>
      <c r="C114" s="2">
        <v>5233.34</v>
      </c>
      <c r="D114" s="21">
        <v>46064</v>
      </c>
      <c r="E114" t="str">
        <v>Eric Simpson</v>
      </c>
      <c r="F114" s="21">
        <v>46076</v>
      </c>
      <c r="G114" s="26" t="str">
        <v>Billy Fisk</v>
      </c>
      <c r="H114" s="24" t="str">
        <v/>
      </c>
      <c r="I114" s="2">
        <v>5233.34</v>
      </c>
      <c r="J114" s="19" t="str">
        <v>Won</v>
      </c>
      <c r="K114" s="20" t="b">
        <v>0</v>
      </c>
      <c r="L114" t="str">
        <v>Ordered on SO# 428419</v>
      </c>
      <c r="M114" s="21" t="str">
        <v/>
      </c>
    </row>
    <row r="115" spans="1:13" x14ac:dyDescent="0.3">
      <c r="A115" s="7">
        <v>191882</v>
      </c>
      <c r="B115" t="str">
        <v>Tyson Foods, Inc. HQ</v>
      </c>
      <c r="C115" s="2">
        <v>7470</v>
      </c>
      <c r="D115" s="21">
        <v>46066</v>
      </c>
      <c r="E115" t="str">
        <v>Eric Simpson</v>
      </c>
      <c r="F115" s="21">
        <v>46076</v>
      </c>
      <c r="G115" s="26" t="str">
        <v>Jacob Brainard</v>
      </c>
      <c r="H115" s="24" t="str">
        <v/>
      </c>
      <c r="I115" s="2">
        <v>7470</v>
      </c>
      <c r="J115" s="19" t="str">
        <v>Won</v>
      </c>
      <c r="K115" s="20" t="b">
        <v>0</v>
      </c>
      <c r="L115" t="str">
        <v>Ordered on multiple POs</v>
      </c>
      <c r="M115" s="21" t="str">
        <v/>
      </c>
    </row>
    <row r="116" spans="1:13" x14ac:dyDescent="0.3">
      <c r="A116" s="7">
        <v>191836</v>
      </c>
      <c r="B116" t="str">
        <v>United States Gypsum Company</v>
      </c>
      <c r="C116" s="2">
        <v>5610.88</v>
      </c>
      <c r="D116" s="21">
        <v>46065</v>
      </c>
      <c r="E116" t="str">
        <v>Eric Simpson</v>
      </c>
      <c r="F116" s="21">
        <v>46076</v>
      </c>
      <c r="G116" s="26" t="str">
        <v>K Chafee</v>
      </c>
      <c r="H116" s="24" t="str">
        <v/>
      </c>
      <c r="I116" s="2" t="str">
        <v/>
      </c>
      <c r="J116" s="19" t="str">
        <v/>
      </c>
      <c r="K116" s="20" t="b">
        <v>0</v>
      </c>
      <c r="L116" t="str">
        <v>Sent Second Request</v>
      </c>
      <c r="M116" s="21" t="str">
        <v/>
      </c>
    </row>
    <row r="117" spans="1:13" x14ac:dyDescent="0.3">
      <c r="A117" s="7">
        <v>191722</v>
      </c>
      <c r="B117" t="str">
        <v>ADAMA dba Makhteshim Agan of North America</v>
      </c>
      <c r="C117" s="2">
        <v>5957.55</v>
      </c>
      <c r="D117" s="21">
        <v>46063</v>
      </c>
      <c r="E117" t="str">
        <v>Eric Simpson</v>
      </c>
      <c r="F117" s="21">
        <v>46078</v>
      </c>
      <c r="G117" s="26" t="str">
        <v/>
      </c>
      <c r="H117" s="24" t="str">
        <v/>
      </c>
      <c r="I117" s="2">
        <v>5957.55</v>
      </c>
      <c r="J117" s="19" t="str">
        <v>Won</v>
      </c>
      <c r="K117" s="20" t="b">
        <v>0</v>
      </c>
      <c r="L117" t="str">
        <v>Already Ordered From the Webstore</v>
      </c>
      <c r="M117" s="21" t="str">
        <v/>
      </c>
    </row>
    <row r="118" spans="1:13" x14ac:dyDescent="0.3">
      <c r="A118" s="7">
        <v>191747</v>
      </c>
      <c r="B118" t="str">
        <v>Alpla</v>
      </c>
      <c r="C118" s="2">
        <v>2976.89</v>
      </c>
      <c r="D118" s="21">
        <v>46065</v>
      </c>
      <c r="E118" t="str">
        <v>Eric Simpson</v>
      </c>
      <c r="F118" s="21">
        <v>46078</v>
      </c>
      <c r="G118" s="26" t="str">
        <v>David McCollum</v>
      </c>
      <c r="H118" s="24" t="str">
        <v/>
      </c>
      <c r="I118" s="2">
        <v>2976.89</v>
      </c>
      <c r="J118" s="19" t="str">
        <v>Won</v>
      </c>
      <c r="K118" s="20" t="b">
        <v>0</v>
      </c>
      <c r="L118" t="str">
        <v>Ordered on SO# 428153</v>
      </c>
      <c r="M118" s="21" t="str">
        <v/>
      </c>
    </row>
    <row r="119" spans="1:13" x14ac:dyDescent="0.3">
      <c r="A119" s="7">
        <v>191892</v>
      </c>
      <c r="B119" t="str">
        <v>Alpla</v>
      </c>
      <c r="C119" s="2">
        <v>2675.38</v>
      </c>
      <c r="D119" s="21">
        <v>46066</v>
      </c>
      <c r="E119" t="str">
        <v>Eric Simpson</v>
      </c>
      <c r="F119" s="21">
        <v>46078</v>
      </c>
      <c r="G119" s="26" t="str">
        <v>David McCollum</v>
      </c>
      <c r="H119" s="24" t="str">
        <v/>
      </c>
      <c r="I119" s="2">
        <v>2675.38</v>
      </c>
      <c r="J119" s="19" t="str">
        <v>Won</v>
      </c>
      <c r="K119" s="20" t="b">
        <v>0</v>
      </c>
      <c r="L119" t="str">
        <v>Ordered on SO# 428361</v>
      </c>
      <c r="M119" s="21" t="str">
        <v/>
      </c>
    </row>
    <row r="120" spans="1:13" x14ac:dyDescent="0.3">
      <c r="A120" s="7">
        <v>191457</v>
      </c>
      <c r="B120" t="str">
        <v>Amcor Rigid Plastics</v>
      </c>
      <c r="C120" s="2">
        <v>5422.38</v>
      </c>
      <c r="D120" s="21">
        <v>46055</v>
      </c>
      <c r="E120" t="str">
        <v>Eric Simpson</v>
      </c>
      <c r="F120" s="21">
        <v>46078</v>
      </c>
      <c r="G120" s="26" t="str">
        <v>Clay Craig</v>
      </c>
      <c r="H120" s="24" t="str">
        <v/>
      </c>
      <c r="I120" s="2">
        <v>5422.38</v>
      </c>
      <c r="J120" s="19" t="str">
        <v>Won</v>
      </c>
      <c r="K120" s="20" t="b">
        <v>0</v>
      </c>
      <c r="L120" t="str">
        <v>Ordered on SO# 427649</v>
      </c>
      <c r="M120" s="21" t="str">
        <v/>
      </c>
    </row>
    <row r="121" spans="1:13" x14ac:dyDescent="0.3">
      <c r="A121" s="7">
        <v>191877</v>
      </c>
      <c r="B121" t="str">
        <v>Aspire Bakeries</v>
      </c>
      <c r="C121" s="2">
        <v>1788</v>
      </c>
      <c r="D121" s="21">
        <v>46066</v>
      </c>
      <c r="E121" t="str">
        <v>Eric Simpson</v>
      </c>
      <c r="F121" s="21">
        <v>46078</v>
      </c>
      <c r="G121" s="26" t="str">
        <v>Gary Marchetti</v>
      </c>
      <c r="H121" s="24" t="str">
        <v/>
      </c>
      <c r="I121" s="2">
        <v>1788</v>
      </c>
      <c r="J121" s="19" t="str">
        <v>won</v>
      </c>
      <c r="K121" s="20" t="b">
        <v>0</v>
      </c>
      <c r="L121" t="str">
        <v>Ordered on SO# 428222</v>
      </c>
      <c r="M121" s="21" t="str">
        <v/>
      </c>
    </row>
    <row r="122" spans="1:13" x14ac:dyDescent="0.3">
      <c r="A122" s="7">
        <v>191880</v>
      </c>
      <c r="B122" t="str">
        <v>Burlington Coat Factory</v>
      </c>
      <c r="C122" s="2">
        <v>3862.94</v>
      </c>
      <c r="D122" s="21">
        <v>46066</v>
      </c>
      <c r="E122" t="str">
        <v>Eric Simpson</v>
      </c>
      <c r="F122" s="21">
        <v>46078</v>
      </c>
      <c r="G122" s="26" t="str">
        <v>Jasminne Sanchez</v>
      </c>
      <c r="H122" s="24" t="str">
        <v/>
      </c>
      <c r="I122" s="2" t="str">
        <v/>
      </c>
      <c r="J122" s="19" t="str">
        <v/>
      </c>
      <c r="K122" s="20" t="b">
        <v>0</v>
      </c>
      <c r="L122" t="str">
        <v>Sent a second request</v>
      </c>
      <c r="M122" s="21" t="str">
        <v/>
      </c>
    </row>
    <row r="123" spans="1:13" x14ac:dyDescent="0.3">
      <c r="A123" s="7">
        <v>191881</v>
      </c>
      <c r="B123" t="str">
        <v>Burlington Coat Factory</v>
      </c>
      <c r="C123" s="2">
        <v>2365.5</v>
      </c>
      <c r="D123" s="21">
        <v>46066</v>
      </c>
      <c r="E123" t="str">
        <v>Eric Simpson</v>
      </c>
      <c r="F123" s="21">
        <v>46078</v>
      </c>
      <c r="G123" s="26" t="str">
        <v>Jasminne Sanchez</v>
      </c>
      <c r="H123" s="24" t="str">
        <v/>
      </c>
      <c r="I123" s="2" t="str">
        <v/>
      </c>
      <c r="J123" s="19" t="str">
        <v/>
      </c>
      <c r="K123" s="20" t="b">
        <v>0</v>
      </c>
      <c r="L123" t="str">
        <v>Sent a second request</v>
      </c>
      <c r="M123" s="21" t="str">
        <v/>
      </c>
    </row>
    <row r="124" spans="1:13" x14ac:dyDescent="0.3">
      <c r="A124" s="7">
        <v>191459</v>
      </c>
      <c r="B124" t="str">
        <v>Church &amp; Dwight</v>
      </c>
      <c r="C124" s="2">
        <v>6508.2</v>
      </c>
      <c r="D124" s="21">
        <v>46055</v>
      </c>
      <c r="E124" t="str">
        <v>Eric Simpson</v>
      </c>
      <c r="F124" s="21">
        <v>46078</v>
      </c>
      <c r="G124" s="26" t="str">
        <v>Justin Lang</v>
      </c>
      <c r="H124" s="24" t="str">
        <v/>
      </c>
      <c r="I124" s="2">
        <v>6508.2</v>
      </c>
      <c r="J124" s="19" t="str">
        <v>Won</v>
      </c>
      <c r="K124" s="20" t="b">
        <v>0</v>
      </c>
      <c r="L124" t="str">
        <v>Ordered on SO# 427619</v>
      </c>
      <c r="M124" s="21" t="str">
        <v/>
      </c>
    </row>
    <row r="125" spans="1:13" x14ac:dyDescent="0.3">
      <c r="A125" s="7">
        <v>191828</v>
      </c>
      <c r="B125" t="str">
        <v>Country Pure Foods/Silver Springs Citrus</v>
      </c>
      <c r="C125" s="2">
        <v>2667.14</v>
      </c>
      <c r="D125" s="21">
        <v>46066</v>
      </c>
      <c r="E125" t="str">
        <v>Eric Simpson</v>
      </c>
      <c r="F125" s="21">
        <v>46078</v>
      </c>
      <c r="G125" s="26" t="str">
        <v>Kyle Valentin</v>
      </c>
      <c r="H125" s="24" t="str">
        <v/>
      </c>
      <c r="I125" s="2">
        <v>2667.14</v>
      </c>
      <c r="J125" s="19" t="str">
        <v>Won</v>
      </c>
      <c r="K125" s="20" t="b">
        <v>0</v>
      </c>
      <c r="L125" t="str">
        <v>Ordered on SO# 428234</v>
      </c>
      <c r="M125" s="21" t="str">
        <v/>
      </c>
    </row>
    <row r="126" spans="1:13" x14ac:dyDescent="0.3">
      <c r="A126" s="7">
        <v>191751</v>
      </c>
      <c r="B126" t="str">
        <v>Furmano Foods</v>
      </c>
      <c r="C126" s="2">
        <v>4299.68</v>
      </c>
      <c r="D126" s="21">
        <v>46065</v>
      </c>
      <c r="E126" t="str">
        <v>Eric Simpson</v>
      </c>
      <c r="F126" s="21">
        <v>46078</v>
      </c>
      <c r="G126" s="26" t="str">
        <v>Scott Fox</v>
      </c>
      <c r="H126" s="24" t="str">
        <v/>
      </c>
      <c r="I126" s="2">
        <v>4299.68</v>
      </c>
      <c r="J126" s="19" t="str">
        <v>Won</v>
      </c>
      <c r="K126" s="20" t="b">
        <v>1</v>
      </c>
      <c r="L126" t="str">
        <v>Ordered on SO# 428154</v>
      </c>
      <c r="M126" s="21" t="str">
        <v/>
      </c>
    </row>
    <row r="127" spans="1:13" x14ac:dyDescent="0.3">
      <c r="A127" s="7">
        <v>191817</v>
      </c>
      <c r="B127" t="str">
        <v>Gallo Glass / E&amp;J Gallo Winery / G3 Enterprises</v>
      </c>
      <c r="C127" s="2">
        <v>17508.439999999999</v>
      </c>
      <c r="D127" s="21">
        <v>46064</v>
      </c>
      <c r="E127" t="str">
        <v>Eric Simpson</v>
      </c>
      <c r="F127" s="21">
        <v>46078</v>
      </c>
      <c r="G127" s="26" t="str">
        <v>MARTY SHEEK</v>
      </c>
      <c r="H127" s="24" t="str">
        <v/>
      </c>
      <c r="I127" s="2" t="str">
        <v/>
      </c>
      <c r="J127" s="19" t="str">
        <v>Lost</v>
      </c>
      <c r="K127" s="20" t="b">
        <v>0</v>
      </c>
      <c r="L127" t="str">
        <v>Ordered cancelled</v>
      </c>
      <c r="M127" s="21" t="str">
        <v/>
      </c>
    </row>
    <row r="128" spans="1:13" x14ac:dyDescent="0.3">
      <c r="A128" s="7">
        <v>191785</v>
      </c>
      <c r="B128" t="str">
        <v>Henkel</v>
      </c>
      <c r="C128" s="2">
        <v>1512</v>
      </c>
      <c r="D128" s="21">
        <v>46065</v>
      </c>
      <c r="E128" t="str">
        <v>Eric Simpson</v>
      </c>
      <c r="F128" s="21">
        <v>46078</v>
      </c>
      <c r="G128" s="26" t="str">
        <v>Amanda Glover</v>
      </c>
      <c r="H128" s="24" t="str">
        <v/>
      </c>
      <c r="I128" s="2">
        <v>1512</v>
      </c>
      <c r="J128" s="19" t="str">
        <v>Won</v>
      </c>
      <c r="K128" s="20" t="b">
        <v>0</v>
      </c>
      <c r="L128" t="str">
        <v>Ordered on SO# 428178</v>
      </c>
      <c r="M128" s="21" t="str">
        <v/>
      </c>
    </row>
    <row r="129" spans="1:13" x14ac:dyDescent="0.3">
      <c r="A129" s="7">
        <v>191840</v>
      </c>
      <c r="B129" t="str">
        <v>Ken's Foods, LLC</v>
      </c>
      <c r="C129" s="2">
        <v>4912.84</v>
      </c>
      <c r="D129" s="21">
        <v>46065</v>
      </c>
      <c r="E129" t="str">
        <v>Eric Simpson</v>
      </c>
      <c r="F129" s="21">
        <v>46078</v>
      </c>
      <c r="G129" s="26" t="str">
        <v/>
      </c>
      <c r="H129" s="24" t="str">
        <v/>
      </c>
      <c r="I129" s="2">
        <v>4912.84</v>
      </c>
      <c r="J129" s="19" t="str">
        <v>Won</v>
      </c>
      <c r="K129" s="20" t="b">
        <v>0</v>
      </c>
      <c r="L129" t="str">
        <v>Ordered on SO# 428179</v>
      </c>
      <c r="M129" s="21" t="str">
        <v/>
      </c>
    </row>
    <row r="130" spans="1:13" x14ac:dyDescent="0.3">
      <c r="A130" s="7">
        <v>191789</v>
      </c>
      <c r="B130" t="str">
        <v>Ocean Spray Cranberries</v>
      </c>
      <c r="C130" s="2">
        <v>2256</v>
      </c>
      <c r="D130" s="21">
        <v>46066</v>
      </c>
      <c r="E130" t="str">
        <v>Eric Simpson</v>
      </c>
      <c r="F130" s="21">
        <v>46078</v>
      </c>
      <c r="G130" s="26" t="str">
        <v>Jeff Bortz</v>
      </c>
      <c r="H130" s="24" t="str">
        <v/>
      </c>
      <c r="I130" s="2">
        <v>2256</v>
      </c>
      <c r="J130" s="19" t="str">
        <v>Won</v>
      </c>
      <c r="K130" s="20" t="b">
        <v>0</v>
      </c>
      <c r="L130" t="str">
        <v>Ordered on SO# 428274</v>
      </c>
      <c r="M130" s="21" t="str">
        <v/>
      </c>
    </row>
    <row r="131" spans="1:13" x14ac:dyDescent="0.3">
      <c r="A131" s="7">
        <v>191733</v>
      </c>
      <c r="B131" t="str">
        <v>Ryder Integrated Logistics / former Tech Packaging</v>
      </c>
      <c r="C131" s="2">
        <v>1847</v>
      </c>
      <c r="D131" s="21" t="str">
        <v/>
      </c>
      <c r="E131" t="str">
        <v>Eric Simpson</v>
      </c>
      <c r="F131" s="21">
        <v>46078</v>
      </c>
      <c r="G131" s="26" t="str">
        <v/>
      </c>
      <c r="H131" s="24" t="str">
        <v/>
      </c>
      <c r="I131" s="2" t="str">
        <v/>
      </c>
      <c r="J131" s="19" t="str">
        <v>Lost</v>
      </c>
      <c r="K131" s="20" t="b">
        <v>0</v>
      </c>
      <c r="L131" t="str">
        <v>Order Cancelled</v>
      </c>
      <c r="M131" s="21" t="str">
        <v/>
      </c>
    </row>
    <row r="132" spans="1:13" x14ac:dyDescent="0.3">
      <c r="A132" s="7">
        <v>191777</v>
      </c>
      <c r="B132" t="str">
        <v>S.C. Johnson &amp; Son</v>
      </c>
      <c r="C132" s="2">
        <v>4553.38</v>
      </c>
      <c r="D132" s="21">
        <v>46065</v>
      </c>
      <c r="E132" t="str">
        <v>Eric Simpson</v>
      </c>
      <c r="F132" s="21">
        <v>46078</v>
      </c>
      <c r="G132" s="26" t="str">
        <v>Renee Frederick</v>
      </c>
      <c r="H132" s="24" t="str">
        <v/>
      </c>
      <c r="I132" s="2">
        <v>4553.38</v>
      </c>
      <c r="J132" s="19" t="str">
        <v>Won</v>
      </c>
      <c r="K132" s="20" t="b">
        <v>0</v>
      </c>
      <c r="L132" t="str">
        <v>Ordered on SO# 428208</v>
      </c>
      <c r="M132" s="21" t="str">
        <v/>
      </c>
    </row>
    <row r="133" spans="1:13" x14ac:dyDescent="0.3">
      <c r="A133" s="7">
        <v>191774</v>
      </c>
      <c r="B133" t="str">
        <v>S.C. Johnson &amp; Son</v>
      </c>
      <c r="C133" s="2">
        <v>1826.25</v>
      </c>
      <c r="D133" s="21">
        <v>46065</v>
      </c>
      <c r="E133" t="str">
        <v>Eric Simpson</v>
      </c>
      <c r="F133" s="21">
        <v>46078</v>
      </c>
      <c r="G133" s="26" t="str">
        <v>Renee Frederick</v>
      </c>
      <c r="H133" s="24" t="str">
        <v/>
      </c>
      <c r="I133" s="2">
        <v>1826.25</v>
      </c>
      <c r="J133" s="19" t="str">
        <v>Won</v>
      </c>
      <c r="K133" s="20" t="b">
        <v>0</v>
      </c>
      <c r="L133" t="str">
        <v>Ordered on SO# 428213</v>
      </c>
      <c r="M133" s="21" t="str">
        <v/>
      </c>
    </row>
    <row r="134" spans="1:13" x14ac:dyDescent="0.3">
      <c r="A134" s="7">
        <v>191772</v>
      </c>
      <c r="B134" t="str">
        <v>Silgan Holdings</v>
      </c>
      <c r="C134" s="2">
        <v>1811</v>
      </c>
      <c r="D134" s="21">
        <v>46064</v>
      </c>
      <c r="E134" t="str">
        <v>Eric Simpson</v>
      </c>
      <c r="F134" s="21">
        <v>46078</v>
      </c>
      <c r="G134" s="26" t="str">
        <v>Justina Robbins</v>
      </c>
      <c r="H134" s="24" t="str">
        <v/>
      </c>
      <c r="I134" s="2">
        <v>164</v>
      </c>
      <c r="J134" s="19" t="str">
        <v>Won</v>
      </c>
      <c r="K134" s="20" t="b">
        <v>0</v>
      </c>
      <c r="L134" t="str">
        <v>Ordered on PO 874-1518957</v>
      </c>
      <c r="M134" s="21" t="str">
        <v/>
      </c>
    </row>
    <row r="135" spans="1:13" x14ac:dyDescent="0.3">
      <c r="A135" s="7">
        <v>191779</v>
      </c>
      <c r="B135" t="str">
        <v>Spears Manufacturing Company</v>
      </c>
      <c r="C135" s="2">
        <v>4470</v>
      </c>
      <c r="D135" s="21">
        <v>46064</v>
      </c>
      <c r="E135" t="str">
        <v>Eric Simpson</v>
      </c>
      <c r="F135" s="21">
        <v>46078</v>
      </c>
      <c r="G135" s="26" t="str">
        <v>Ernie Garcia</v>
      </c>
      <c r="H135" s="24" t="str">
        <v/>
      </c>
      <c r="I135" s="2">
        <v>4470</v>
      </c>
      <c r="J135" s="19" t="str">
        <v>Won</v>
      </c>
      <c r="K135" s="20" t="b">
        <v>0</v>
      </c>
      <c r="L135" t="str">
        <v>Ordered on SO# 428295</v>
      </c>
      <c r="M135" s="21" t="str">
        <v/>
      </c>
    </row>
    <row r="136" spans="1:13" x14ac:dyDescent="0.3">
      <c r="A136" s="7">
        <v>191769</v>
      </c>
      <c r="B136" t="str">
        <v>Sustainable Beef LLC</v>
      </c>
      <c r="C136" s="2">
        <v>5233.34</v>
      </c>
      <c r="D136" s="21">
        <v>46064</v>
      </c>
      <c r="E136" t="str">
        <v>Eric Simpson</v>
      </c>
      <c r="F136" s="21">
        <v>46078</v>
      </c>
      <c r="G136" s="26" t="str">
        <v>Billy Fisk</v>
      </c>
      <c r="H136" s="24" t="str">
        <v/>
      </c>
      <c r="I136" s="2">
        <v>5233.34</v>
      </c>
      <c r="J136" s="19" t="str">
        <v>Won</v>
      </c>
      <c r="K136" s="20" t="b">
        <v>1</v>
      </c>
      <c r="L136" t="str">
        <v>Ordered on SO# 428419</v>
      </c>
      <c r="M136" s="21" t="str">
        <v/>
      </c>
    </row>
    <row r="137" spans="1:13" x14ac:dyDescent="0.3">
      <c r="A137" s="7">
        <v>191882</v>
      </c>
      <c r="B137" t="str">
        <v>Tyson Foods, Inc. HQ</v>
      </c>
      <c r="C137" s="2">
        <v>7470</v>
      </c>
      <c r="D137" s="21">
        <v>46066</v>
      </c>
      <c r="E137" t="str">
        <v>Eric Simpson</v>
      </c>
      <c r="F137" s="21">
        <v>46078</v>
      </c>
      <c r="G137" s="26" t="str">
        <v/>
      </c>
      <c r="H137" s="24" t="str">
        <v/>
      </c>
      <c r="I137" s="2">
        <v>7470</v>
      </c>
      <c r="J137" s="19" t="str">
        <v>Won</v>
      </c>
      <c r="K137" s="20" t="b">
        <v>0</v>
      </c>
      <c r="L137" t="str">
        <v>Ordered on multiple POs</v>
      </c>
      <c r="M137" s="21" t="str">
        <v/>
      </c>
    </row>
    <row r="138" spans="1:13" x14ac:dyDescent="0.3">
      <c r="A138" s="7">
        <v>191836</v>
      </c>
      <c r="B138" t="str">
        <v>United States Gypsum Company</v>
      </c>
      <c r="C138" s="2">
        <v>5610.88</v>
      </c>
      <c r="D138" s="21">
        <v>46065</v>
      </c>
      <c r="E138" t="str">
        <v>Eric Simpson</v>
      </c>
      <c r="F138" s="21">
        <v>46078</v>
      </c>
      <c r="G138" s="26" t="str">
        <v>K Chafee</v>
      </c>
      <c r="H138" s="24" t="str">
        <v/>
      </c>
      <c r="I138" s="2" t="str">
        <v/>
      </c>
      <c r="J138" s="19" t="str">
        <v/>
      </c>
      <c r="K138" s="20" t="b">
        <v>0</v>
      </c>
      <c r="L138" t="str">
        <v>Customer said they will be talking about this on Thursday</v>
      </c>
      <c r="M138" s="21" t="str">
        <v/>
      </c>
    </row>
    <row r="139" spans="1:13" x14ac:dyDescent="0.3">
      <c r="A139" s="7">
        <v>191624</v>
      </c>
      <c r="B139" t="str">
        <v>Coca Cola</v>
      </c>
      <c r="C139" s="2">
        <v>22504.45</v>
      </c>
      <c r="D139" s="21">
        <v>46059</v>
      </c>
      <c r="E139" t="str">
        <v>Darryl Overstreet</v>
      </c>
      <c r="F139" s="21">
        <v>46076</v>
      </c>
      <c r="G139" s="26" t="str">
        <v>Lauren Breeden</v>
      </c>
      <c r="H139" s="24" t="str">
        <v>(817) 847-3141x4349</v>
      </c>
      <c r="I139" s="2" t="str">
        <v/>
      </c>
      <c r="J139" s="19" t="str">
        <v/>
      </c>
      <c r="K139" s="20" t="b">
        <v>0</v>
      </c>
      <c r="L139" t="str">
        <v>Sent Second Request</v>
      </c>
      <c r="M139" s="21" t="str">
        <v/>
      </c>
    </row>
    <row r="140" spans="1:13" x14ac:dyDescent="0.3">
      <c r="A140" s="7">
        <v>191608</v>
      </c>
      <c r="B140" t="str">
        <v>Coca Cola</v>
      </c>
      <c r="C140" s="2">
        <v>22646.55</v>
      </c>
      <c r="D140" s="21">
        <v>46059</v>
      </c>
      <c r="E140" t="str">
        <v>Darryl Overstreet</v>
      </c>
      <c r="F140" s="21">
        <v>46076</v>
      </c>
      <c r="G140" s="26" t="str">
        <v>Lauren Breeden</v>
      </c>
      <c r="H140" s="24" t="str">
        <v>(817) 847-3141x4349</v>
      </c>
      <c r="I140" s="2" t="str">
        <v/>
      </c>
      <c r="J140" s="19" t="str">
        <v/>
      </c>
      <c r="K140" s="20" t="b">
        <v>0</v>
      </c>
      <c r="L140" t="str">
        <v>Sent a second request</v>
      </c>
      <c r="M140" s="21" t="str">
        <v/>
      </c>
    </row>
    <row r="141" spans="1:13" x14ac:dyDescent="0.3">
      <c r="A141" s="7">
        <v>191567</v>
      </c>
      <c r="B141" t="str">
        <v>TJ Maxx</v>
      </c>
      <c r="C141" s="2">
        <v>5678.9</v>
      </c>
      <c r="D141" s="21">
        <v>46058</v>
      </c>
      <c r="E141" t="str">
        <v>Darryl Overstreet</v>
      </c>
      <c r="F141" s="21">
        <v>46076</v>
      </c>
      <c r="G141" s="26" t="str">
        <v>Allison Gish</v>
      </c>
      <c r="H141" s="24" t="str">
        <v/>
      </c>
      <c r="I141" s="2" t="str">
        <v/>
      </c>
      <c r="J141" s="19" t="str">
        <v/>
      </c>
      <c r="K141" s="20" t="b">
        <v>0</v>
      </c>
      <c r="L141" t="str">
        <v>Sent Second Request</v>
      </c>
      <c r="M141" s="21" t="str">
        <v/>
      </c>
    </row>
    <row r="142" spans="1:13" x14ac:dyDescent="0.3">
      <c r="A142" s="7">
        <v>191497</v>
      </c>
      <c r="B142" t="str">
        <v>Kenosha Beef</v>
      </c>
      <c r="C142" s="2">
        <v>2080</v>
      </c>
      <c r="D142" s="21">
        <v>46056</v>
      </c>
      <c r="E142" t="str">
        <v>LuWanna Morris</v>
      </c>
      <c r="F142" s="21" t="str">
        <v/>
      </c>
      <c r="G142" s="26" t="str">
        <v/>
      </c>
      <c r="H142" s="24" t="str">
        <v/>
      </c>
      <c r="I142" s="2" t="str">
        <v/>
      </c>
      <c r="J142" s="19" t="str">
        <v>lost</v>
      </c>
      <c r="K142" s="20" t="b">
        <v>0</v>
      </c>
      <c r="L142" t="str">
        <v>close no response</v>
      </c>
      <c r="M142" s="21" t="str">
        <v/>
      </c>
    </row>
    <row r="143" spans="1:13" x14ac:dyDescent="0.3">
      <c r="A143" s="7">
        <v>191493</v>
      </c>
      <c r="B143" t="str">
        <v>Central Valley Meat Co./ Harris Ranch Beef Co.</v>
      </c>
      <c r="C143" s="2">
        <v>2173</v>
      </c>
      <c r="D143" s="21">
        <v>46056</v>
      </c>
      <c r="E143" t="str">
        <v>LuWanna Morris</v>
      </c>
      <c r="F143" s="21" t="str">
        <v/>
      </c>
      <c r="G143" s="26" t="str">
        <v/>
      </c>
      <c r="H143" s="24" t="str">
        <v/>
      </c>
      <c r="I143" s="2" t="str">
        <v/>
      </c>
      <c r="J143" s="19" t="str">
        <v>lost</v>
      </c>
      <c r="K143" s="20" t="b">
        <v>0</v>
      </c>
      <c r="L143" t="str">
        <v/>
      </c>
      <c r="M143" s="21" t="str">
        <v/>
      </c>
    </row>
    <row r="144" spans="1:13" x14ac:dyDescent="0.3">
      <c r="A144" s="7">
        <v>191497</v>
      </c>
      <c r="B144" t="str">
        <v>Kenosha Beef</v>
      </c>
      <c r="C144" s="2">
        <v>2080</v>
      </c>
      <c r="D144" s="21">
        <v>46056</v>
      </c>
      <c r="E144" t="str">
        <v>LuWanna Morris</v>
      </c>
      <c r="F144" s="21" t="str">
        <v/>
      </c>
      <c r="G144" s="26" t="str">
        <v/>
      </c>
      <c r="H144" s="24" t="str">
        <v/>
      </c>
      <c r="I144" s="2" t="str">
        <v/>
      </c>
      <c r="J144" s="19" t="str">
        <v>lost</v>
      </c>
      <c r="K144" s="20" t="b">
        <v>0</v>
      </c>
      <c r="L144" t="str">
        <v/>
      </c>
      <c r="M144" s="21" t="str">
        <v/>
      </c>
    </row>
    <row r="145" spans="1:13" x14ac:dyDescent="0.3">
      <c r="A145" s="7">
        <v>190511</v>
      </c>
      <c r="B145" t="str">
        <v>Ardagh Group</v>
      </c>
      <c r="C145" s="2">
        <v>4159.33</v>
      </c>
      <c r="D145" s="21">
        <v>46036</v>
      </c>
      <c r="E145" t="str">
        <v>LuWanna Morris</v>
      </c>
      <c r="F145" s="21" t="str">
        <v/>
      </c>
      <c r="G145" s="26" t="str">
        <v>Brandon Sewell</v>
      </c>
      <c r="H145" s="24" t="str">
        <v/>
      </c>
      <c r="I145" s="2">
        <v>1927.79</v>
      </c>
      <c r="J145" s="19" t="str">
        <v>won</v>
      </c>
      <c r="K145" s="20" t="b">
        <v>1</v>
      </c>
      <c r="L145" t="str">
        <v>sent reminder/ 428308</v>
      </c>
      <c r="M145" s="21">
        <v>46051</v>
      </c>
    </row>
    <row r="146" spans="1:13" x14ac:dyDescent="0.3">
      <c r="A146" s="7">
        <v>191745</v>
      </c>
      <c r="B146" t="str">
        <v>AB Foods aka Washington Beef/True West</v>
      </c>
      <c r="C146" s="2">
        <v>2118</v>
      </c>
      <c r="D146" s="21">
        <v>46063</v>
      </c>
      <c r="E146" t="str">
        <v>LuWanna Morris</v>
      </c>
      <c r="F146" s="21" t="str">
        <v/>
      </c>
      <c r="G146" s="26" t="str">
        <v/>
      </c>
      <c r="H146" s="24" t="str">
        <v/>
      </c>
      <c r="I146" s="2" t="str">
        <v/>
      </c>
      <c r="J146" s="19" t="str">
        <v/>
      </c>
      <c r="K146" s="20" t="b">
        <v>0</v>
      </c>
      <c r="L146" t="str">
        <v/>
      </c>
      <c r="M146" s="21" t="str">
        <v/>
      </c>
    </row>
    <row r="147" spans="1:13" x14ac:dyDescent="0.3">
      <c r="A147" s="7">
        <v>191597</v>
      </c>
      <c r="B147" t="str">
        <v>Alphasite Inc.</v>
      </c>
      <c r="C147" s="2">
        <v>2226.96</v>
      </c>
      <c r="D147" s="21">
        <v>46059</v>
      </c>
      <c r="E147" t="str">
        <v>LuWanna Morris</v>
      </c>
      <c r="F147" s="21" t="str">
        <v/>
      </c>
      <c r="G147" s="26" t="str">
        <v/>
      </c>
      <c r="H147" s="24" t="str">
        <v/>
      </c>
      <c r="I147" s="2" t="str">
        <v/>
      </c>
      <c r="J147" s="19" t="str">
        <v/>
      </c>
      <c r="K147" s="20" t="b">
        <v>0</v>
      </c>
      <c r="L147" t="str">
        <v/>
      </c>
      <c r="M147" s="21" t="str">
        <v/>
      </c>
    </row>
    <row r="148" spans="1:13" x14ac:dyDescent="0.3">
      <c r="A148" s="7">
        <v>191807</v>
      </c>
      <c r="B148" t="str">
        <v>Archer Daniels Mid/Stratas Foods/Wild Flavors</v>
      </c>
      <c r="C148" s="2">
        <v>2238.64</v>
      </c>
      <c r="D148" s="21">
        <v>46064</v>
      </c>
      <c r="E148" t="str">
        <v>LuWanna Morris</v>
      </c>
      <c r="F148" s="21" t="str">
        <v/>
      </c>
      <c r="G148" s="26" t="str">
        <v/>
      </c>
      <c r="H148" s="24" t="str">
        <v/>
      </c>
      <c r="I148" s="2" t="str">
        <v/>
      </c>
      <c r="J148" s="19" t="str">
        <v/>
      </c>
      <c r="K148" s="20" t="b">
        <v>0</v>
      </c>
      <c r="L148" t="str">
        <v/>
      </c>
      <c r="M148" s="21" t="str">
        <v/>
      </c>
    </row>
    <row r="149" spans="1:13" x14ac:dyDescent="0.3">
      <c r="A149" s="7">
        <v>191958</v>
      </c>
      <c r="B149" t="str">
        <v>Arkansas Glass Container</v>
      </c>
      <c r="C149" s="2">
        <v>4890.0200000000004</v>
      </c>
      <c r="D149" s="21">
        <v>46067</v>
      </c>
      <c r="E149" t="str">
        <v>LuWanna Morris</v>
      </c>
      <c r="F149" s="21" t="str">
        <v/>
      </c>
      <c r="G149" s="26" t="str">
        <v/>
      </c>
      <c r="H149" s="24" t="str">
        <v/>
      </c>
      <c r="I149" s="2" t="str">
        <v/>
      </c>
      <c r="J149" s="19" t="str">
        <v/>
      </c>
      <c r="K149" s="20" t="b">
        <v>0</v>
      </c>
      <c r="L149" t="str">
        <v/>
      </c>
      <c r="M149" s="21" t="str">
        <v/>
      </c>
    </row>
    <row r="150" spans="1:13" x14ac:dyDescent="0.3">
      <c r="A150" s="7">
        <v>191516</v>
      </c>
      <c r="B150" t="str">
        <v>Baldwin Richardson Foods</v>
      </c>
      <c r="C150" s="2">
        <v>7331.76</v>
      </c>
      <c r="D150" s="21">
        <v>46057</v>
      </c>
      <c r="E150" t="str">
        <v>LuWanna Morris</v>
      </c>
      <c r="F150" s="21" t="str">
        <v/>
      </c>
      <c r="G150" s="26" t="str">
        <v/>
      </c>
      <c r="H150" s="24" t="str">
        <v/>
      </c>
      <c r="I150" s="2" t="str">
        <v/>
      </c>
      <c r="J150" s="19" t="str">
        <v/>
      </c>
      <c r="K150" s="20" t="b">
        <v>0</v>
      </c>
      <c r="L150" t="str">
        <v/>
      </c>
      <c r="M150" s="21" t="str">
        <v/>
      </c>
    </row>
    <row r="151" spans="1:13" x14ac:dyDescent="0.3">
      <c r="A151" s="7">
        <v>191911</v>
      </c>
      <c r="B151" t="str">
        <v>Basic American Foods</v>
      </c>
      <c r="C151" s="2">
        <v>2125.25</v>
      </c>
      <c r="D151" s="21" t="str">
        <v/>
      </c>
      <c r="E151" t="str">
        <v>LuWanna Morris</v>
      </c>
      <c r="F151" s="21" t="str">
        <v/>
      </c>
      <c r="G151" s="26" t="str">
        <v/>
      </c>
      <c r="H151" s="24" t="str">
        <v/>
      </c>
      <c r="I151" s="2" t="str">
        <v/>
      </c>
      <c r="J151" s="19" t="str">
        <v/>
      </c>
      <c r="K151" s="20" t="b">
        <v>0</v>
      </c>
      <c r="L151" t="str">
        <v/>
      </c>
      <c r="M151" s="21" t="str">
        <v/>
      </c>
    </row>
    <row r="152" spans="1:13" x14ac:dyDescent="0.3">
      <c r="A152" s="7">
        <v>191931</v>
      </c>
      <c r="B152" t="str">
        <v>Church &amp; Dwight</v>
      </c>
      <c r="C152" s="2">
        <v>1926.02</v>
      </c>
      <c r="D152" s="21">
        <v>46067</v>
      </c>
      <c r="E152" t="str">
        <v>LuWanna Morris</v>
      </c>
      <c r="F152" s="21" t="str">
        <v/>
      </c>
      <c r="G152" s="26" t="str">
        <v/>
      </c>
      <c r="H152" s="24" t="str">
        <v/>
      </c>
      <c r="I152" s="2" t="str">
        <v/>
      </c>
      <c r="J152" s="19" t="str">
        <v/>
      </c>
      <c r="K152" s="20" t="b">
        <v>0</v>
      </c>
      <c r="L152" t="str">
        <v/>
      </c>
      <c r="M152" s="21" t="str">
        <v/>
      </c>
    </row>
    <row r="153" spans="1:13" x14ac:dyDescent="0.3">
      <c r="A153" s="7">
        <v>191920</v>
      </c>
      <c r="B153" t="str">
        <v>Coca Cola</v>
      </c>
      <c r="C153" s="2">
        <v>102426.5</v>
      </c>
      <c r="D153" s="21">
        <v>46066</v>
      </c>
      <c r="E153" t="str">
        <v>LuWanna Morris</v>
      </c>
      <c r="F153" s="21" t="str">
        <v/>
      </c>
      <c r="G153" s="26" t="str">
        <v/>
      </c>
      <c r="H153" s="24" t="str">
        <v/>
      </c>
      <c r="I153" s="2" t="str">
        <v/>
      </c>
      <c r="J153" s="19" t="str">
        <v/>
      </c>
      <c r="K153" s="20" t="b">
        <v>0</v>
      </c>
      <c r="L153" t="str">
        <v/>
      </c>
      <c r="M153" s="21" t="str">
        <v/>
      </c>
    </row>
    <row r="154" spans="1:13" x14ac:dyDescent="0.3">
      <c r="A154" s="7">
        <v>191680</v>
      </c>
      <c r="B154" t="str">
        <v>Coca Cola</v>
      </c>
      <c r="C154" s="2">
        <v>21685.14</v>
      </c>
      <c r="D154" s="21">
        <v>46060</v>
      </c>
      <c r="E154" t="str">
        <v>LuWanna Morris</v>
      </c>
      <c r="F154" s="21" t="str">
        <v/>
      </c>
      <c r="G154" s="26" t="str">
        <v/>
      </c>
      <c r="H154" s="24" t="str">
        <v/>
      </c>
      <c r="I154" s="2" t="str">
        <v/>
      </c>
      <c r="J154" s="19" t="str">
        <v/>
      </c>
      <c r="K154" s="20" t="b">
        <v>0</v>
      </c>
      <c r="L154" t="str">
        <v/>
      </c>
      <c r="M154" s="21" t="str">
        <v/>
      </c>
    </row>
    <row r="155" spans="1:13" x14ac:dyDescent="0.3">
      <c r="A155" s="7">
        <v>191679</v>
      </c>
      <c r="B155" t="str">
        <v>Coca Cola</v>
      </c>
      <c r="C155" s="2">
        <v>8042</v>
      </c>
      <c r="D155" s="21" t="str">
        <v/>
      </c>
      <c r="E155" t="str">
        <v>LuWanna Morris</v>
      </c>
      <c r="F155" s="21" t="str">
        <v/>
      </c>
      <c r="G155" s="26" t="str">
        <v/>
      </c>
      <c r="H155" s="24" t="str">
        <v/>
      </c>
      <c r="I155" s="2" t="str">
        <v/>
      </c>
      <c r="J155" s="19" t="str">
        <v/>
      </c>
      <c r="K155" s="20" t="b">
        <v>0</v>
      </c>
      <c r="L155" t="str">
        <v/>
      </c>
      <c r="M155" s="21" t="str">
        <v/>
      </c>
    </row>
    <row r="156" spans="1:13" x14ac:dyDescent="0.3">
      <c r="A156" s="7">
        <v>191851</v>
      </c>
      <c r="B156" t="str">
        <v>Full Sail Brewing</v>
      </c>
      <c r="C156" s="2">
        <v>4408.8599999999997</v>
      </c>
      <c r="D156" s="21">
        <v>46065</v>
      </c>
      <c r="E156" t="str">
        <v>LuWanna Morris</v>
      </c>
      <c r="F156" s="21" t="str">
        <v/>
      </c>
      <c r="G156" s="26" t="str">
        <v/>
      </c>
      <c r="H156" s="24" t="str">
        <v/>
      </c>
      <c r="I156" s="2" t="str">
        <v/>
      </c>
      <c r="J156" s="19" t="str">
        <v/>
      </c>
      <c r="K156" s="20" t="b">
        <v>0</v>
      </c>
      <c r="L156" t="str">
        <v/>
      </c>
      <c r="M156" s="21" t="str">
        <v/>
      </c>
    </row>
    <row r="157" spans="1:13" x14ac:dyDescent="0.3">
      <c r="A157" s="7">
        <v>191699</v>
      </c>
      <c r="B157" t="str">
        <v>General Mills, Inc.</v>
      </c>
      <c r="C157" s="2">
        <v>5362.35</v>
      </c>
      <c r="D157" s="21">
        <v>46060</v>
      </c>
      <c r="E157" t="str">
        <v>LuWanna Morris</v>
      </c>
      <c r="F157" s="21" t="str">
        <v/>
      </c>
      <c r="G157" s="26" t="str">
        <v/>
      </c>
      <c r="H157" s="24" t="str">
        <v/>
      </c>
      <c r="I157" s="2" t="str">
        <v/>
      </c>
      <c r="J157" s="19" t="str">
        <v/>
      </c>
      <c r="K157" s="20" t="b">
        <v>0</v>
      </c>
      <c r="L157" t="str">
        <v/>
      </c>
      <c r="M157" s="21" t="str">
        <v/>
      </c>
    </row>
    <row r="158" spans="1:13" x14ac:dyDescent="0.3">
      <c r="A158" s="7">
        <v>191951</v>
      </c>
      <c r="B158" t="str">
        <v>General Mills, Inc.</v>
      </c>
      <c r="C158" s="2">
        <v>3707.32</v>
      </c>
      <c r="D158" s="21">
        <v>46067</v>
      </c>
      <c r="E158" t="str">
        <v>LuWanna Morris</v>
      </c>
      <c r="F158" s="21" t="str">
        <v/>
      </c>
      <c r="G158" s="26" t="str">
        <v/>
      </c>
      <c r="H158" s="24" t="str">
        <v/>
      </c>
      <c r="I158" s="2" t="str">
        <v/>
      </c>
      <c r="J158" s="19" t="str">
        <v/>
      </c>
      <c r="K158" s="20" t="b">
        <v>0</v>
      </c>
      <c r="L158" t="str">
        <v/>
      </c>
      <c r="M158" s="21" t="str">
        <v/>
      </c>
    </row>
    <row r="159" spans="1:13" x14ac:dyDescent="0.3">
      <c r="A159" s="7">
        <v>191538</v>
      </c>
      <c r="B159" t="str">
        <v>Hamrick Manufacturing</v>
      </c>
      <c r="C159" s="2">
        <v>14038.06</v>
      </c>
      <c r="D159" s="21">
        <v>46057</v>
      </c>
      <c r="E159" t="str">
        <v>LuWanna Morris</v>
      </c>
      <c r="F159" s="21" t="str">
        <v/>
      </c>
      <c r="G159" s="26" t="str">
        <v/>
      </c>
      <c r="H159" s="24" t="str">
        <v/>
      </c>
      <c r="I159" s="2" t="str">
        <v/>
      </c>
      <c r="J159" s="19" t="str">
        <v/>
      </c>
      <c r="K159" s="20" t="b">
        <v>0</v>
      </c>
      <c r="L159" t="str">
        <v>RSP</v>
      </c>
      <c r="M159" s="21" t="str">
        <v/>
      </c>
    </row>
    <row r="160" spans="1:13" x14ac:dyDescent="0.3">
      <c r="A160" s="7">
        <v>191752</v>
      </c>
      <c r="B160" t="str">
        <v>JBS USA</v>
      </c>
      <c r="C160" s="2">
        <v>3929.34</v>
      </c>
      <c r="D160" s="21">
        <v>46063</v>
      </c>
      <c r="E160" t="str">
        <v>LuWanna Morris</v>
      </c>
      <c r="F160" s="21" t="str">
        <v/>
      </c>
      <c r="G160" s="26" t="str">
        <v/>
      </c>
      <c r="H160" s="24" t="str">
        <v/>
      </c>
      <c r="I160" s="2" t="str">
        <v/>
      </c>
      <c r="J160" s="19" t="str">
        <v/>
      </c>
      <c r="K160" s="20" t="b">
        <v>0</v>
      </c>
      <c r="L160" t="str">
        <v/>
      </c>
      <c r="M160" s="21" t="str">
        <v/>
      </c>
    </row>
    <row r="161" spans="1:13" x14ac:dyDescent="0.3">
      <c r="A161" s="7">
        <v>191595</v>
      </c>
      <c r="B161" t="str">
        <v>JBS USA</v>
      </c>
      <c r="C161" s="2">
        <v>1586.13</v>
      </c>
      <c r="D161" s="21">
        <v>46058</v>
      </c>
      <c r="E161" t="str">
        <v>LuWanna Morris</v>
      </c>
      <c r="F161" s="21" t="str">
        <v/>
      </c>
      <c r="G161" s="26" t="str">
        <v/>
      </c>
      <c r="H161" s="24" t="str">
        <v/>
      </c>
      <c r="I161" s="2" t="str">
        <v/>
      </c>
      <c r="J161" s="19" t="str">
        <v/>
      </c>
      <c r="K161" s="20" t="b">
        <v>0</v>
      </c>
      <c r="L161" t="str">
        <v/>
      </c>
      <c r="M161" s="21" t="str">
        <v/>
      </c>
    </row>
    <row r="162" spans="1:13" x14ac:dyDescent="0.3">
      <c r="A162" s="7">
        <v>191855</v>
      </c>
      <c r="B162" t="str">
        <v>Kraft Heinz Company</v>
      </c>
      <c r="C162" s="2">
        <v>12004.5</v>
      </c>
      <c r="D162" s="21">
        <v>46065</v>
      </c>
      <c r="E162" t="str">
        <v>LuWanna Morris</v>
      </c>
      <c r="F162" s="21" t="str">
        <v/>
      </c>
      <c r="G162" s="26" t="str">
        <v/>
      </c>
      <c r="H162" s="24" t="str">
        <v/>
      </c>
      <c r="I162" s="2" t="str">
        <v/>
      </c>
      <c r="J162" s="19" t="str">
        <v/>
      </c>
      <c r="K162" s="20" t="b">
        <v>0</v>
      </c>
      <c r="L162" t="str">
        <v/>
      </c>
      <c r="M162" s="21" t="str">
        <v/>
      </c>
    </row>
    <row r="163" spans="1:13" x14ac:dyDescent="0.3">
      <c r="A163" s="7">
        <v>191656</v>
      </c>
      <c r="B163" t="str">
        <v>Lagunitas Brewing Co</v>
      </c>
      <c r="C163" s="2">
        <v>1737</v>
      </c>
      <c r="D163" s="21">
        <v>46059</v>
      </c>
      <c r="E163" t="str">
        <v>LuWanna Morris</v>
      </c>
      <c r="F163" s="21" t="str">
        <v/>
      </c>
      <c r="G163" s="26" t="str">
        <v/>
      </c>
      <c r="H163" s="24" t="str">
        <v/>
      </c>
      <c r="I163" s="2" t="str">
        <v/>
      </c>
      <c r="J163" s="19" t="str">
        <v/>
      </c>
      <c r="K163" s="20" t="b">
        <v>0</v>
      </c>
      <c r="L163" t="str">
        <v/>
      </c>
      <c r="M163" s="21" t="str">
        <v/>
      </c>
    </row>
    <row r="164" spans="1:13" x14ac:dyDescent="0.3">
      <c r="A164" s="7">
        <v>191860</v>
      </c>
      <c r="B164" t="str">
        <v>Leprino Foods Company</v>
      </c>
      <c r="C164" s="2">
        <v>2695</v>
      </c>
      <c r="D164" s="21">
        <v>46065</v>
      </c>
      <c r="E164" t="str">
        <v>LuWanna Morris</v>
      </c>
      <c r="F164" s="21" t="str">
        <v/>
      </c>
      <c r="G164" s="26" t="str">
        <v/>
      </c>
      <c r="H164" s="24" t="str">
        <v/>
      </c>
      <c r="I164" s="2" t="str">
        <v/>
      </c>
      <c r="J164" s="19" t="str">
        <v/>
      </c>
      <c r="K164" s="20" t="b">
        <v>0</v>
      </c>
      <c r="L164" t="str">
        <v/>
      </c>
      <c r="M164" s="21" t="str">
        <v/>
      </c>
    </row>
    <row r="165" spans="1:13" x14ac:dyDescent="0.3">
      <c r="A165" s="7">
        <v>191600</v>
      </c>
      <c r="B165" t="str">
        <v>Midland Paper Co.</v>
      </c>
      <c r="C165" s="2">
        <v>11815.47</v>
      </c>
      <c r="D165" s="21">
        <v>46065</v>
      </c>
      <c r="E165" t="str">
        <v>LuWanna Morris</v>
      </c>
      <c r="F165" s="21" t="str">
        <v/>
      </c>
      <c r="G165" s="26" t="str">
        <v/>
      </c>
      <c r="H165" s="24" t="str">
        <v/>
      </c>
      <c r="I165" s="2" t="str">
        <v/>
      </c>
      <c r="J165" s="19" t="str">
        <v/>
      </c>
      <c r="K165" s="20" t="b">
        <v>0</v>
      </c>
      <c r="L165" t="str">
        <v/>
      </c>
      <c r="M165" s="21" t="str">
        <v/>
      </c>
    </row>
    <row r="166" spans="1:13" x14ac:dyDescent="0.3">
      <c r="A166" s="7">
        <v>191604</v>
      </c>
      <c r="B166" t="str">
        <v>National Beef / Iowa Premium</v>
      </c>
      <c r="C166" s="2">
        <v>6605.8</v>
      </c>
      <c r="D166" s="21">
        <v>46058</v>
      </c>
      <c r="E166" t="str">
        <v>LuWanna Morris</v>
      </c>
      <c r="F166" s="21" t="str">
        <v/>
      </c>
      <c r="G166" s="26" t="str">
        <v/>
      </c>
      <c r="H166" s="24" t="str">
        <v/>
      </c>
      <c r="I166" s="2" t="str">
        <v/>
      </c>
      <c r="J166" s="19" t="str">
        <v/>
      </c>
      <c r="K166" s="20" t="b">
        <v>0</v>
      </c>
      <c r="L166" t="str">
        <v/>
      </c>
      <c r="M166" s="21" t="str">
        <v/>
      </c>
    </row>
    <row r="167" spans="1:13" x14ac:dyDescent="0.3">
      <c r="A167" s="7">
        <v>191847</v>
      </c>
      <c r="B167" t="str">
        <v>Neil Jones Food Company dba Toma Tek</v>
      </c>
      <c r="C167" s="2">
        <v>73111.8</v>
      </c>
      <c r="D167" s="21">
        <v>46065</v>
      </c>
      <c r="E167" t="str">
        <v>LuWanna Morris</v>
      </c>
      <c r="F167" s="21" t="str">
        <v/>
      </c>
      <c r="G167" s="26" t="str">
        <v/>
      </c>
      <c r="H167" s="24" t="str">
        <v/>
      </c>
      <c r="I167" s="2" t="str">
        <v/>
      </c>
      <c r="J167" s="19" t="str">
        <v/>
      </c>
      <c r="K167" s="20" t="b">
        <v>0</v>
      </c>
      <c r="L167" t="str">
        <v/>
      </c>
      <c r="M167" s="21" t="str">
        <v/>
      </c>
    </row>
    <row r="168" spans="1:13" x14ac:dyDescent="0.3">
      <c r="A168" s="7">
        <v>191631</v>
      </c>
      <c r="B168" t="str">
        <v>Niagara Bottling LLC</v>
      </c>
      <c r="C168" s="2">
        <v>2048</v>
      </c>
      <c r="D168" s="21">
        <v>46059</v>
      </c>
      <c r="E168" t="str">
        <v>LuWanna Morris</v>
      </c>
      <c r="F168" s="21" t="str">
        <v/>
      </c>
      <c r="G168" s="26" t="str">
        <v/>
      </c>
      <c r="H168" s="24" t="str">
        <v/>
      </c>
      <c r="I168" s="2" t="str">
        <v/>
      </c>
      <c r="J168" s="19" t="str">
        <v/>
      </c>
      <c r="K168" s="20" t="b">
        <v>0</v>
      </c>
      <c r="L168" t="str">
        <v/>
      </c>
      <c r="M168" s="21" t="str">
        <v/>
      </c>
    </row>
    <row r="169" spans="1:13" x14ac:dyDescent="0.3">
      <c r="A169" s="7">
        <v>191484</v>
      </c>
      <c r="B169" t="str">
        <v>PepsiCo</v>
      </c>
      <c r="C169" s="2">
        <v>28215.55</v>
      </c>
      <c r="D169" s="21" t="str">
        <v/>
      </c>
      <c r="E169" t="str">
        <v>LuWanna Morris</v>
      </c>
      <c r="F169" s="21" t="str">
        <v/>
      </c>
      <c r="G169" s="26" t="str">
        <v/>
      </c>
      <c r="H169" s="24" t="str">
        <v/>
      </c>
      <c r="I169" s="2" t="str">
        <v/>
      </c>
      <c r="J169" s="19" t="str">
        <v/>
      </c>
      <c r="K169" s="20" t="b">
        <v>0</v>
      </c>
      <c r="L169" t="str">
        <v>waiting for procurement</v>
      </c>
      <c r="M169" s="21" t="str">
        <v/>
      </c>
    </row>
    <row r="170" spans="1:13" x14ac:dyDescent="0.3">
      <c r="A170" s="7">
        <v>191786</v>
      </c>
      <c r="B170" t="str">
        <v>Perdue Farms</v>
      </c>
      <c r="C170" s="2">
        <v>9627.14</v>
      </c>
      <c r="D170" s="21">
        <v>46064</v>
      </c>
      <c r="E170" t="str">
        <v>LuWanna Morris</v>
      </c>
      <c r="F170" s="21" t="str">
        <v/>
      </c>
      <c r="G170" s="26" t="str">
        <v/>
      </c>
      <c r="H170" s="24" t="str">
        <v/>
      </c>
      <c r="I170" s="2" t="str">
        <v/>
      </c>
      <c r="J170" s="19" t="str">
        <v/>
      </c>
      <c r="K170" s="20" t="b">
        <v>0</v>
      </c>
      <c r="L170" t="str">
        <v>RSP</v>
      </c>
      <c r="M170" s="21" t="str">
        <v/>
      </c>
    </row>
    <row r="171" spans="1:13" x14ac:dyDescent="0.3">
      <c r="A171" s="7">
        <v>191580</v>
      </c>
      <c r="B171" t="str">
        <v>SoJo Industries</v>
      </c>
      <c r="C171" s="2">
        <v>22190.02</v>
      </c>
      <c r="D171" s="21">
        <v>46059</v>
      </c>
      <c r="E171" t="str">
        <v>LuWanna Morris</v>
      </c>
      <c r="F171" s="21" t="str">
        <v/>
      </c>
      <c r="G171" s="26" t="str">
        <v/>
      </c>
      <c r="H171" s="24" t="str">
        <v/>
      </c>
      <c r="I171" s="2" t="str">
        <v/>
      </c>
      <c r="J171" s="19" t="str">
        <v/>
      </c>
      <c r="K171" s="20" t="b">
        <v>0</v>
      </c>
      <c r="L171" t="str">
        <v>RSP</v>
      </c>
      <c r="M171" s="21" t="str">
        <v/>
      </c>
    </row>
    <row r="172" spans="1:13" x14ac:dyDescent="0.3">
      <c r="A172" s="7">
        <v>191811</v>
      </c>
      <c r="B172" t="str">
        <v>Sonoco Products Co</v>
      </c>
      <c r="C172" s="2">
        <v>2666</v>
      </c>
      <c r="D172" s="21">
        <v>46064</v>
      </c>
      <c r="E172" t="str">
        <v>LuWanna Morris</v>
      </c>
      <c r="F172" s="21" t="str">
        <v/>
      </c>
      <c r="G172" s="26" t="str">
        <v/>
      </c>
      <c r="H172" s="24" t="str">
        <v/>
      </c>
      <c r="I172" s="2" t="str">
        <v/>
      </c>
      <c r="J172" s="19" t="str">
        <v/>
      </c>
      <c r="K172" s="20" t="b">
        <v>0</v>
      </c>
      <c r="L172" t="str">
        <v/>
      </c>
      <c r="M172" s="21" t="str">
        <v/>
      </c>
    </row>
    <row r="173" spans="1:13" x14ac:dyDescent="0.3">
      <c r="A173" s="7">
        <v>191925</v>
      </c>
      <c r="B173" t="str">
        <v>Ste. Michelle Wine Estates / Columbia Crest Winery</v>
      </c>
      <c r="C173" s="2">
        <v>2488</v>
      </c>
      <c r="D173" s="21">
        <v>46066</v>
      </c>
      <c r="E173" t="str">
        <v>LuWanna Morris</v>
      </c>
      <c r="F173" s="21" t="str">
        <v/>
      </c>
      <c r="G173" s="26" t="str">
        <v/>
      </c>
      <c r="H173" s="24" t="str">
        <v/>
      </c>
      <c r="I173" s="2" t="str">
        <v/>
      </c>
      <c r="J173" s="19" t="str">
        <v/>
      </c>
      <c r="K173" s="20" t="b">
        <v>0</v>
      </c>
      <c r="L173" t="str">
        <v/>
      </c>
      <c r="M173" s="21" t="str">
        <v/>
      </c>
    </row>
    <row r="174" spans="1:13" x14ac:dyDescent="0.3">
      <c r="A174" s="7">
        <v>191674</v>
      </c>
      <c r="B174" t="str">
        <v>Tailored Chemical Products</v>
      </c>
      <c r="C174" s="2">
        <v>21976.59</v>
      </c>
      <c r="D174" s="21">
        <v>46060</v>
      </c>
      <c r="E174" t="str">
        <v>LuWanna Morris</v>
      </c>
      <c r="F174" s="21" t="str">
        <v/>
      </c>
      <c r="G174" s="26" t="str">
        <v/>
      </c>
      <c r="H174" s="24" t="str">
        <v/>
      </c>
      <c r="I174" s="2" t="str">
        <v/>
      </c>
      <c r="J174" s="19" t="str">
        <v/>
      </c>
      <c r="K174" s="20" t="b">
        <v>0</v>
      </c>
      <c r="L174" t="str">
        <v>RSP</v>
      </c>
      <c r="M174" s="21" t="str">
        <v/>
      </c>
    </row>
    <row r="175" spans="1:13" x14ac:dyDescent="0.3">
      <c r="A175" s="7">
        <v>191629</v>
      </c>
      <c r="B175" t="str">
        <v>Vallen/Hagemeyer</v>
      </c>
      <c r="C175" s="2">
        <v>2734.91</v>
      </c>
      <c r="D175" s="21">
        <v>46059</v>
      </c>
      <c r="E175" t="str">
        <v>LuWanna Morris</v>
      </c>
      <c r="F175" s="21" t="str">
        <v/>
      </c>
      <c r="G175" s="26" t="str">
        <v/>
      </c>
      <c r="H175" s="24" t="str">
        <v/>
      </c>
      <c r="I175" s="2" t="str">
        <v/>
      </c>
      <c r="J175" s="19" t="str">
        <v/>
      </c>
      <c r="K175" s="20" t="b">
        <v>0</v>
      </c>
      <c r="L175" t="str">
        <v/>
      </c>
      <c r="M175" s="21" t="str">
        <v/>
      </c>
    </row>
    <row r="176" spans="1:13" x14ac:dyDescent="0.3">
      <c r="A176" s="7">
        <v>191946</v>
      </c>
      <c r="B176" t="str">
        <v>Vallen/Hagemeyer</v>
      </c>
      <c r="C176" s="2">
        <v>1757.46</v>
      </c>
      <c r="D176" s="21">
        <v>46067</v>
      </c>
      <c r="E176" t="str">
        <v>LuWanna Morris</v>
      </c>
      <c r="F176" s="21" t="str">
        <v/>
      </c>
      <c r="G176" s="26" t="str">
        <v/>
      </c>
      <c r="H176" s="24" t="str">
        <v/>
      </c>
      <c r="I176" s="2" t="str">
        <v/>
      </c>
      <c r="J176" s="19" t="str">
        <v/>
      </c>
      <c r="K176" s="20" t="b">
        <v>0</v>
      </c>
      <c r="L176" t="str">
        <v/>
      </c>
      <c r="M176" s="21" t="str">
        <v/>
      </c>
    </row>
    <row r="177" spans="1:13" x14ac:dyDescent="0.3">
      <c r="A177" s="7">
        <v>191745</v>
      </c>
      <c r="B177" t="str">
        <v>AB Foods aka Washington Beef/True West</v>
      </c>
      <c r="C177" s="2">
        <v>2118</v>
      </c>
      <c r="D177" s="21">
        <v>46063</v>
      </c>
      <c r="E177" t="str">
        <v>LuWanna Morris</v>
      </c>
      <c r="F177" s="21" t="str">
        <v/>
      </c>
      <c r="G177" s="26" t="str">
        <v/>
      </c>
      <c r="H177" s="24" t="str">
        <v/>
      </c>
      <c r="I177" s="2" t="str">
        <v/>
      </c>
      <c r="J177" s="19" t="str">
        <v/>
      </c>
      <c r="K177" s="20" t="b">
        <v>0</v>
      </c>
      <c r="L177" t="str">
        <v/>
      </c>
      <c r="M177" s="21" t="str">
        <v/>
      </c>
    </row>
    <row r="178" spans="1:13" x14ac:dyDescent="0.3">
      <c r="A178" s="7">
        <v>191807</v>
      </c>
      <c r="B178" t="str">
        <v>Archer Daniels Mid/Stratas Foods/Wild Flavors</v>
      </c>
      <c r="C178" s="2">
        <v>2238.64</v>
      </c>
      <c r="D178" s="21">
        <v>46064</v>
      </c>
      <c r="E178" t="str">
        <v>LuWanna Morris</v>
      </c>
      <c r="F178" s="21" t="str">
        <v/>
      </c>
      <c r="G178" s="26" t="str">
        <v/>
      </c>
      <c r="H178" s="24" t="str">
        <v/>
      </c>
      <c r="I178" s="2" t="str">
        <v/>
      </c>
      <c r="J178" s="19" t="str">
        <v/>
      </c>
      <c r="K178" s="20" t="b">
        <v>0</v>
      </c>
      <c r="L178" t="str">
        <v/>
      </c>
      <c r="M178" s="21" t="str">
        <v/>
      </c>
    </row>
    <row r="179" spans="1:13" x14ac:dyDescent="0.3">
      <c r="A179" s="7">
        <v>191958</v>
      </c>
      <c r="B179" t="str">
        <v>Arkansas Glass Container</v>
      </c>
      <c r="C179" s="2">
        <v>4890.0200000000004</v>
      </c>
      <c r="D179" s="21">
        <v>46067</v>
      </c>
      <c r="E179" t="str">
        <v>LuWanna Morris</v>
      </c>
      <c r="F179" s="21" t="str">
        <v/>
      </c>
      <c r="G179" s="26" t="str">
        <v/>
      </c>
      <c r="H179" s="24" t="str">
        <v/>
      </c>
      <c r="I179" s="2" t="str">
        <v/>
      </c>
      <c r="J179" s="19" t="str">
        <v/>
      </c>
      <c r="K179" s="20" t="b">
        <v>0</v>
      </c>
      <c r="L179" t="str">
        <v/>
      </c>
      <c r="M179" s="21" t="str">
        <v/>
      </c>
    </row>
    <row r="180" spans="1:13" x14ac:dyDescent="0.3">
      <c r="A180" s="7">
        <v>191516</v>
      </c>
      <c r="B180" t="str">
        <v>Baldwin Richardson Foods</v>
      </c>
      <c r="C180" s="2">
        <v>7331.76</v>
      </c>
      <c r="D180" s="21">
        <v>46057</v>
      </c>
      <c r="E180" t="str">
        <v>LuWanna Morris</v>
      </c>
      <c r="F180" s="21" t="str">
        <v/>
      </c>
      <c r="G180" s="26" t="str">
        <v/>
      </c>
      <c r="H180" s="24" t="str">
        <v/>
      </c>
      <c r="I180" s="2" t="str">
        <v/>
      </c>
      <c r="J180" s="19" t="str">
        <v/>
      </c>
      <c r="K180" s="20" t="b">
        <v>0</v>
      </c>
      <c r="L180" t="str">
        <v>RSP</v>
      </c>
      <c r="M180" s="21" t="str">
        <v/>
      </c>
    </row>
    <row r="181" spans="1:13" x14ac:dyDescent="0.3">
      <c r="A181" s="7">
        <v>191911</v>
      </c>
      <c r="B181" t="str">
        <v>Basic American Foods</v>
      </c>
      <c r="C181" s="2">
        <v>2125.25</v>
      </c>
      <c r="D181" s="21" t="str">
        <v/>
      </c>
      <c r="E181" t="str">
        <v>LuWanna Morris</v>
      </c>
      <c r="F181" s="21" t="str">
        <v/>
      </c>
      <c r="G181" s="26" t="str">
        <v/>
      </c>
      <c r="H181" s="24" t="str">
        <v/>
      </c>
      <c r="I181" s="2" t="str">
        <v/>
      </c>
      <c r="J181" s="19" t="str">
        <v/>
      </c>
      <c r="K181" s="20" t="b">
        <v>0</v>
      </c>
      <c r="L181" t="str">
        <v/>
      </c>
      <c r="M181" s="21" t="str">
        <v/>
      </c>
    </row>
    <row r="182" spans="1:13" x14ac:dyDescent="0.3">
      <c r="A182" s="7">
        <v>191931</v>
      </c>
      <c r="B182" t="str">
        <v>Church &amp; Dwight</v>
      </c>
      <c r="C182" s="2">
        <v>1926.02</v>
      </c>
      <c r="D182" s="21">
        <v>46067</v>
      </c>
      <c r="E182" t="str">
        <v>LuWanna Morris</v>
      </c>
      <c r="F182" s="21" t="str">
        <v/>
      </c>
      <c r="G182" s="26" t="str">
        <v/>
      </c>
      <c r="H182" s="24" t="str">
        <v/>
      </c>
      <c r="I182" s="2" t="str">
        <v/>
      </c>
      <c r="J182" s="19" t="str">
        <v/>
      </c>
      <c r="K182" s="20" t="b">
        <v>0</v>
      </c>
      <c r="L182" t="str">
        <v/>
      </c>
      <c r="M182" s="21" t="str">
        <v/>
      </c>
    </row>
    <row r="183" spans="1:13" x14ac:dyDescent="0.3">
      <c r="A183" s="7">
        <v>191920</v>
      </c>
      <c r="B183" t="str">
        <v>Coca Cola</v>
      </c>
      <c r="C183" s="2">
        <v>102426.5</v>
      </c>
      <c r="D183" s="21">
        <v>46066</v>
      </c>
      <c r="E183" t="str">
        <v>LuWanna Morris</v>
      </c>
      <c r="F183" s="21" t="str">
        <v/>
      </c>
      <c r="G183" s="26" t="str">
        <v/>
      </c>
      <c r="H183" s="24" t="str">
        <v/>
      </c>
      <c r="I183" s="2" t="str">
        <v/>
      </c>
      <c r="J183" s="19" t="str">
        <v/>
      </c>
      <c r="K183" s="20" t="b">
        <v>0</v>
      </c>
      <c r="L183" t="str">
        <v/>
      </c>
      <c r="M183" s="21" t="str">
        <v/>
      </c>
    </row>
    <row r="184" spans="1:13" x14ac:dyDescent="0.3">
      <c r="A184" s="7">
        <v>191680</v>
      </c>
      <c r="B184" t="str">
        <v>Coca Cola</v>
      </c>
      <c r="C184" s="2">
        <v>21685.14</v>
      </c>
      <c r="D184" s="21">
        <v>46060</v>
      </c>
      <c r="E184" t="str">
        <v>LuWanna Morris</v>
      </c>
      <c r="F184" s="21" t="str">
        <v/>
      </c>
      <c r="G184" s="26" t="str">
        <v/>
      </c>
      <c r="H184" s="24" t="str">
        <v/>
      </c>
      <c r="I184" s="2" t="str">
        <v/>
      </c>
      <c r="J184" s="19" t="str">
        <v/>
      </c>
      <c r="K184" s="20" t="b">
        <v>0</v>
      </c>
      <c r="L184" t="str">
        <v/>
      </c>
      <c r="M184" s="21" t="str">
        <v/>
      </c>
    </row>
    <row r="185" spans="1:13" x14ac:dyDescent="0.3">
      <c r="A185" s="7">
        <v>191679</v>
      </c>
      <c r="B185" t="str">
        <v>Coca Cola</v>
      </c>
      <c r="C185" s="2">
        <v>8042</v>
      </c>
      <c r="D185" s="21" t="str">
        <v/>
      </c>
      <c r="E185" t="str">
        <v>LuWanna Morris</v>
      </c>
      <c r="F185" s="21" t="str">
        <v/>
      </c>
      <c r="G185" s="26" t="str">
        <v/>
      </c>
      <c r="H185" s="24" t="str">
        <v/>
      </c>
      <c r="I185" s="2" t="str">
        <v/>
      </c>
      <c r="J185" s="19" t="str">
        <v/>
      </c>
      <c r="K185" s="20" t="b">
        <v>0</v>
      </c>
      <c r="L185" t="str">
        <v/>
      </c>
      <c r="M185" s="21" t="str">
        <v/>
      </c>
    </row>
    <row r="186" spans="1:13" x14ac:dyDescent="0.3">
      <c r="A186" s="7">
        <v>191851</v>
      </c>
      <c r="B186" t="str">
        <v>Full Sail Brewing</v>
      </c>
      <c r="C186" s="2">
        <v>4408.8599999999997</v>
      </c>
      <c r="D186" s="21">
        <v>46065</v>
      </c>
      <c r="E186" t="str">
        <v>LuWanna Morris</v>
      </c>
      <c r="F186" s="21" t="str">
        <v/>
      </c>
      <c r="G186" s="26" t="str">
        <v/>
      </c>
      <c r="H186" s="24" t="str">
        <v/>
      </c>
      <c r="I186" s="2" t="str">
        <v/>
      </c>
      <c r="J186" s="19" t="str">
        <v/>
      </c>
      <c r="K186" s="20" t="b">
        <v>0</v>
      </c>
      <c r="L186" t="str">
        <v/>
      </c>
      <c r="M186" s="21" t="str">
        <v/>
      </c>
    </row>
    <row r="187" spans="1:13" x14ac:dyDescent="0.3">
      <c r="A187" s="7">
        <v>191699</v>
      </c>
      <c r="B187" t="str">
        <v>General Mills, Inc.</v>
      </c>
      <c r="C187" s="2">
        <v>5362.35</v>
      </c>
      <c r="D187" s="21">
        <v>46060</v>
      </c>
      <c r="E187" t="str">
        <v>LuWanna Morris</v>
      </c>
      <c r="F187" s="21" t="str">
        <v/>
      </c>
      <c r="G187" s="26" t="str">
        <v/>
      </c>
      <c r="H187" s="24" t="str">
        <v/>
      </c>
      <c r="I187" s="2" t="str">
        <v/>
      </c>
      <c r="J187" s="19" t="str">
        <v/>
      </c>
      <c r="K187" s="20" t="b">
        <v>0</v>
      </c>
      <c r="L187" t="str">
        <v/>
      </c>
      <c r="M187" s="21" t="str">
        <v/>
      </c>
    </row>
    <row r="188" spans="1:13" x14ac:dyDescent="0.3">
      <c r="A188" s="7">
        <v>191951</v>
      </c>
      <c r="B188" t="str">
        <v>General Mills, Inc.</v>
      </c>
      <c r="C188" s="2">
        <v>3707.32</v>
      </c>
      <c r="D188" s="21">
        <v>46067</v>
      </c>
      <c r="E188" t="str">
        <v>LuWanna Morris</v>
      </c>
      <c r="F188" s="21" t="str">
        <v/>
      </c>
      <c r="G188" s="26" t="str">
        <v/>
      </c>
      <c r="H188" s="24" t="str">
        <v/>
      </c>
      <c r="I188" s="2" t="str">
        <v/>
      </c>
      <c r="J188" s="19" t="str">
        <v/>
      </c>
      <c r="K188" s="20" t="b">
        <v>0</v>
      </c>
      <c r="L188" t="str">
        <v/>
      </c>
      <c r="M188" s="21" t="str">
        <v/>
      </c>
    </row>
    <row r="189" spans="1:13" x14ac:dyDescent="0.3">
      <c r="A189" s="7">
        <v>191538</v>
      </c>
      <c r="B189" t="str">
        <v>Hamrick Manufacturing</v>
      </c>
      <c r="C189" s="2">
        <v>14038.06</v>
      </c>
      <c r="D189" s="21">
        <v>46057</v>
      </c>
      <c r="E189" t="str">
        <v>LuWanna Morris</v>
      </c>
      <c r="F189" s="21" t="str">
        <v/>
      </c>
      <c r="G189" s="26" t="str">
        <v/>
      </c>
      <c r="H189" s="24" t="str">
        <v/>
      </c>
      <c r="I189" s="2" t="str">
        <v/>
      </c>
      <c r="J189" s="19" t="str">
        <v/>
      </c>
      <c r="K189" s="20" t="b">
        <v>0</v>
      </c>
      <c r="L189" t="str">
        <v>RSP</v>
      </c>
      <c r="M189" s="21" t="str">
        <v/>
      </c>
    </row>
    <row r="190" spans="1:13" x14ac:dyDescent="0.3">
      <c r="A190" s="7">
        <v>191752</v>
      </c>
      <c r="B190" t="str">
        <v>JBS USA</v>
      </c>
      <c r="C190" s="2">
        <v>3929.34</v>
      </c>
      <c r="D190" s="21">
        <v>46063</v>
      </c>
      <c r="E190" t="str">
        <v>LuWanna Morris</v>
      </c>
      <c r="F190" s="21" t="str">
        <v/>
      </c>
      <c r="G190" s="26" t="str">
        <v/>
      </c>
      <c r="H190" s="24" t="str">
        <v/>
      </c>
      <c r="I190" s="2" t="str">
        <v/>
      </c>
      <c r="J190" s="19" t="str">
        <v/>
      </c>
      <c r="K190" s="20" t="b">
        <v>0</v>
      </c>
      <c r="L190" t="str">
        <v/>
      </c>
      <c r="M190" s="21" t="str">
        <v/>
      </c>
    </row>
    <row r="191" spans="1:13" x14ac:dyDescent="0.3">
      <c r="A191" s="7">
        <v>191855</v>
      </c>
      <c r="B191" t="str">
        <v>Kraft Heinz Company</v>
      </c>
      <c r="C191" s="2">
        <v>12004.5</v>
      </c>
      <c r="D191" s="21">
        <v>46065</v>
      </c>
      <c r="E191" t="str">
        <v>LuWanna Morris</v>
      </c>
      <c r="F191" s="21" t="str">
        <v/>
      </c>
      <c r="G191" s="26" t="str">
        <v/>
      </c>
      <c r="H191" s="24" t="str">
        <v/>
      </c>
      <c r="I191" s="2" t="str">
        <v/>
      </c>
      <c r="J191" s="19" t="str">
        <v/>
      </c>
      <c r="K191" s="20" t="b">
        <v>0</v>
      </c>
      <c r="L191" t="str">
        <v/>
      </c>
      <c r="M191" s="21" t="str">
        <v/>
      </c>
    </row>
    <row r="192" spans="1:13" x14ac:dyDescent="0.3">
      <c r="A192" s="7">
        <v>191600</v>
      </c>
      <c r="B192" t="str">
        <v>Midland Paper Co.</v>
      </c>
      <c r="C192" s="2">
        <v>11815.47</v>
      </c>
      <c r="D192" s="21">
        <v>46065</v>
      </c>
      <c r="E192" t="str">
        <v>LuWanna Morris</v>
      </c>
      <c r="F192" s="21" t="str">
        <v/>
      </c>
      <c r="G192" s="26" t="str">
        <v/>
      </c>
      <c r="H192" s="24" t="str">
        <v/>
      </c>
      <c r="I192" s="2" t="str">
        <v/>
      </c>
      <c r="J192" s="19" t="str">
        <v/>
      </c>
      <c r="K192" s="20" t="b">
        <v>0</v>
      </c>
      <c r="L192" t="str">
        <v/>
      </c>
      <c r="M192" s="21" t="str">
        <v/>
      </c>
    </row>
    <row r="193" spans="1:13" x14ac:dyDescent="0.3">
      <c r="A193" s="7">
        <v>191604</v>
      </c>
      <c r="B193" t="str">
        <v>National Beef / Iowa Premium</v>
      </c>
      <c r="C193" s="2">
        <v>6605.8</v>
      </c>
      <c r="D193" s="21">
        <v>46058</v>
      </c>
      <c r="E193" t="str">
        <v>LuWanna Morris</v>
      </c>
      <c r="F193" s="21" t="str">
        <v/>
      </c>
      <c r="G193" s="26" t="str">
        <v/>
      </c>
      <c r="H193" s="24" t="str">
        <v/>
      </c>
      <c r="I193" s="2" t="str">
        <v/>
      </c>
      <c r="J193" s="19" t="str">
        <v/>
      </c>
      <c r="K193" s="20" t="b">
        <v>0</v>
      </c>
      <c r="L193" t="str">
        <v/>
      </c>
      <c r="M193" s="21" t="str">
        <v/>
      </c>
    </row>
    <row r="194" spans="1:13" x14ac:dyDescent="0.3">
      <c r="A194" s="7">
        <v>191847</v>
      </c>
      <c r="B194" t="str">
        <v>Neil Jones Food Company dba Toma Tek</v>
      </c>
      <c r="C194" s="2">
        <v>73111.8</v>
      </c>
      <c r="D194" s="21">
        <v>46065</v>
      </c>
      <c r="E194" t="str">
        <v>LuWanna Morris</v>
      </c>
      <c r="F194" s="21" t="str">
        <v/>
      </c>
      <c r="G194" s="26" t="str">
        <v/>
      </c>
      <c r="H194" s="24" t="str">
        <v/>
      </c>
      <c r="I194" s="2" t="str">
        <v/>
      </c>
      <c r="J194" s="19" t="str">
        <v/>
      </c>
      <c r="K194" s="20" t="b">
        <v>0</v>
      </c>
      <c r="L194" t="str">
        <v/>
      </c>
      <c r="M194" s="21" t="str">
        <v/>
      </c>
    </row>
    <row r="195" spans="1:13" x14ac:dyDescent="0.3">
      <c r="A195" s="7">
        <v>191631</v>
      </c>
      <c r="B195" t="str">
        <v>Niagara Bottling LLC</v>
      </c>
      <c r="C195" s="2">
        <v>2048</v>
      </c>
      <c r="D195" s="21">
        <v>46059</v>
      </c>
      <c r="E195" t="str">
        <v>LuWanna Morris</v>
      </c>
      <c r="F195" s="21" t="str">
        <v/>
      </c>
      <c r="G195" s="26" t="str">
        <v/>
      </c>
      <c r="H195" s="24" t="str">
        <v/>
      </c>
      <c r="I195" s="2" t="str">
        <v/>
      </c>
      <c r="J195" s="19" t="str">
        <v/>
      </c>
      <c r="K195" s="20" t="b">
        <v>0</v>
      </c>
      <c r="L195" t="str">
        <v/>
      </c>
      <c r="M195" s="21" t="str">
        <v/>
      </c>
    </row>
    <row r="196" spans="1:13" x14ac:dyDescent="0.3">
      <c r="A196" s="7">
        <v>191484</v>
      </c>
      <c r="B196" t="str">
        <v>PepsiCo</v>
      </c>
      <c r="C196" s="2">
        <v>28215.55</v>
      </c>
      <c r="D196" s="21" t="str">
        <v/>
      </c>
      <c r="E196" t="str">
        <v>LuWanna Morris</v>
      </c>
      <c r="F196" s="21" t="str">
        <v/>
      </c>
      <c r="G196" s="26" t="str">
        <v/>
      </c>
      <c r="H196" s="24" t="str">
        <v/>
      </c>
      <c r="I196" s="2" t="str">
        <v/>
      </c>
      <c r="J196" s="19" t="str">
        <v/>
      </c>
      <c r="K196" s="20" t="b">
        <v>0</v>
      </c>
      <c r="L196" t="str">
        <v>RSP</v>
      </c>
      <c r="M196" s="21" t="str">
        <v/>
      </c>
    </row>
    <row r="197" spans="1:13" x14ac:dyDescent="0.3">
      <c r="A197" s="7">
        <v>191786</v>
      </c>
      <c r="B197" t="str">
        <v>Perdue Farms</v>
      </c>
      <c r="C197" s="2">
        <v>9627.14</v>
      </c>
      <c r="D197" s="21">
        <v>46064</v>
      </c>
      <c r="E197" t="str">
        <v>LuWanna Morris</v>
      </c>
      <c r="F197" s="21" t="str">
        <v/>
      </c>
      <c r="G197" s="26" t="str">
        <v/>
      </c>
      <c r="H197" s="24" t="str">
        <v/>
      </c>
      <c r="I197" s="2" t="str">
        <v/>
      </c>
      <c r="J197" s="19" t="str">
        <v/>
      </c>
      <c r="K197" s="20" t="b">
        <v>0</v>
      </c>
      <c r="L197" t="str">
        <v/>
      </c>
      <c r="M197" s="21" t="str">
        <v/>
      </c>
    </row>
    <row r="198" spans="1:13" x14ac:dyDescent="0.3">
      <c r="A198" s="7">
        <v>191854</v>
      </c>
      <c r="B198" t="str">
        <v>Ross Stores, Inc.</v>
      </c>
      <c r="C198" s="2">
        <v>3530.78</v>
      </c>
      <c r="D198" s="21">
        <v>46065</v>
      </c>
      <c r="E198" t="str">
        <v>LuWanna Morris</v>
      </c>
      <c r="F198" s="21" t="str">
        <v/>
      </c>
      <c r="G198" s="26" t="str">
        <v/>
      </c>
      <c r="H198" s="24" t="str">
        <v/>
      </c>
      <c r="I198" s="2" t="str">
        <v/>
      </c>
      <c r="J198" s="19" t="str">
        <v/>
      </c>
      <c r="K198" s="20" t="b">
        <v>0</v>
      </c>
      <c r="L198" t="str">
        <v/>
      </c>
      <c r="M198" s="21" t="str">
        <v/>
      </c>
    </row>
    <row r="199" spans="1:13" x14ac:dyDescent="0.3">
      <c r="A199" s="7">
        <v>191580</v>
      </c>
      <c r="B199" t="str">
        <v>SoJo Industries</v>
      </c>
      <c r="C199" s="2">
        <v>22190.02</v>
      </c>
      <c r="D199" s="21">
        <v>46059</v>
      </c>
      <c r="E199" t="str">
        <v>LuWanna Morris</v>
      </c>
      <c r="F199" s="21" t="str">
        <v/>
      </c>
      <c r="G199" s="26" t="str">
        <v/>
      </c>
      <c r="H199" s="24" t="str">
        <v/>
      </c>
      <c r="I199" s="2" t="str">
        <v/>
      </c>
      <c r="J199" s="19" t="str">
        <v/>
      </c>
      <c r="K199" s="20" t="b">
        <v>0</v>
      </c>
      <c r="L199" t="str">
        <v>RSP</v>
      </c>
      <c r="M199" s="21" t="str">
        <v/>
      </c>
    </row>
    <row r="200" spans="1:13" x14ac:dyDescent="0.3">
      <c r="A200" s="7">
        <v>191811</v>
      </c>
      <c r="B200" t="str">
        <v>Sonoco Products Co</v>
      </c>
      <c r="C200" s="2">
        <v>2666</v>
      </c>
      <c r="D200" s="21">
        <v>46064</v>
      </c>
      <c r="E200" t="str">
        <v>LuWanna Morris</v>
      </c>
      <c r="F200" s="21" t="str">
        <v/>
      </c>
      <c r="G200" s="26" t="str">
        <v/>
      </c>
      <c r="H200" s="24" t="str">
        <v/>
      </c>
      <c r="I200" s="2" t="str">
        <v/>
      </c>
      <c r="J200" s="19" t="str">
        <v/>
      </c>
      <c r="K200" s="20" t="b">
        <v>0</v>
      </c>
      <c r="L200" t="str">
        <v/>
      </c>
      <c r="M200" s="21" t="str">
        <v/>
      </c>
    </row>
    <row r="201" spans="1:13" x14ac:dyDescent="0.3">
      <c r="A201" s="7">
        <v>191922</v>
      </c>
      <c r="B201" t="str">
        <v>Ste. Michelle Wine Estates / Columbia Crest Winery</v>
      </c>
      <c r="C201" s="2">
        <v>3674</v>
      </c>
      <c r="D201" s="21">
        <v>46066</v>
      </c>
      <c r="E201" t="str">
        <v>LuWanna Morris</v>
      </c>
      <c r="F201" s="21" t="str">
        <v/>
      </c>
      <c r="G201" s="26" t="str">
        <v/>
      </c>
      <c r="H201" s="24" t="str">
        <v/>
      </c>
      <c r="I201" s="2" t="str">
        <v/>
      </c>
      <c r="J201" s="19" t="str">
        <v/>
      </c>
      <c r="K201" s="20" t="b">
        <v>0</v>
      </c>
      <c r="L201" t="str">
        <v/>
      </c>
      <c r="M201" s="21" t="str">
        <v/>
      </c>
    </row>
    <row r="202" spans="1:13" x14ac:dyDescent="0.3">
      <c r="A202" s="7">
        <v>191925</v>
      </c>
      <c r="B202" t="str">
        <v>Ste. Michelle Wine Estates / Columbia Crest Winery</v>
      </c>
      <c r="C202" s="2">
        <v>2488</v>
      </c>
      <c r="D202" s="21">
        <v>46066</v>
      </c>
      <c r="E202" t="str">
        <v>LuWanna Morris</v>
      </c>
      <c r="F202" s="21" t="str">
        <v/>
      </c>
      <c r="G202" s="26" t="str">
        <v/>
      </c>
      <c r="H202" s="24" t="str">
        <v/>
      </c>
      <c r="I202" s="2" t="str">
        <v/>
      </c>
      <c r="J202" s="19" t="str">
        <v/>
      </c>
      <c r="K202" s="20" t="b">
        <v>0</v>
      </c>
      <c r="L202" t="str">
        <v/>
      </c>
      <c r="M202" s="21" t="str">
        <v/>
      </c>
    </row>
    <row r="203" spans="1:13" x14ac:dyDescent="0.3">
      <c r="A203" s="7">
        <v>191674</v>
      </c>
      <c r="B203" t="str">
        <v>Tailored Chemical Products</v>
      </c>
      <c r="C203" s="2">
        <v>21976.59</v>
      </c>
      <c r="D203" s="21">
        <v>46060</v>
      </c>
      <c r="E203" t="str">
        <v>LuWanna Morris</v>
      </c>
      <c r="F203" s="21" t="str">
        <v/>
      </c>
      <c r="G203" s="26" t="str">
        <v/>
      </c>
      <c r="H203" s="24" t="str">
        <v/>
      </c>
      <c r="I203" s="2" t="str">
        <v/>
      </c>
      <c r="J203" s="19" t="str">
        <v/>
      </c>
      <c r="K203" s="20" t="b">
        <v>0</v>
      </c>
      <c r="L203" t="str">
        <v>RSP</v>
      </c>
      <c r="M203" s="21" t="str">
        <v/>
      </c>
    </row>
    <row r="204" spans="1:13" x14ac:dyDescent="0.3">
      <c r="A204" s="7">
        <v>191784</v>
      </c>
      <c r="B204" t="str">
        <v>Tyson Foods, Inc. HQ</v>
      </c>
      <c r="C204" s="2">
        <v>2309.0700000000002</v>
      </c>
      <c r="D204" s="21">
        <v>46065</v>
      </c>
      <c r="E204" t="str">
        <v>LuWanna Morris</v>
      </c>
      <c r="F204" s="21" t="str">
        <v/>
      </c>
      <c r="G204" s="26" t="str">
        <v/>
      </c>
      <c r="H204" s="24" t="str">
        <v/>
      </c>
      <c r="I204" s="2" t="str">
        <v/>
      </c>
      <c r="J204" s="19" t="str">
        <v/>
      </c>
      <c r="K204" s="20" t="b">
        <v>0</v>
      </c>
      <c r="L204" t="str">
        <v/>
      </c>
      <c r="M204" s="21" t="str">
        <v/>
      </c>
    </row>
    <row r="205" spans="1:13" x14ac:dyDescent="0.3">
      <c r="A205" s="7">
        <v>191629</v>
      </c>
      <c r="B205" t="str">
        <v>Vallen/Hagemeyer</v>
      </c>
      <c r="C205" s="2">
        <v>2734.91</v>
      </c>
      <c r="D205" s="21">
        <v>46059</v>
      </c>
      <c r="E205" t="str">
        <v>LuWanna Morris</v>
      </c>
      <c r="F205" s="21" t="str">
        <v/>
      </c>
      <c r="G205" s="26" t="str">
        <v/>
      </c>
      <c r="H205" s="24" t="str">
        <v/>
      </c>
      <c r="I205" s="2" t="str">
        <v/>
      </c>
      <c r="J205" s="19" t="str">
        <v/>
      </c>
      <c r="K205" s="20" t="b">
        <v>0</v>
      </c>
      <c r="L205" t="str">
        <v/>
      </c>
      <c r="M205" s="21" t="str">
        <v/>
      </c>
    </row>
    <row r="206" spans="1:13" x14ac:dyDescent="0.3">
      <c r="A206" s="7">
        <v>191946</v>
      </c>
      <c r="B206" t="str">
        <v>Vallen/Hagemeyer</v>
      </c>
      <c r="C206" s="2">
        <v>1757.46</v>
      </c>
      <c r="D206" s="21">
        <v>46067</v>
      </c>
      <c r="E206" t="str">
        <v>LuWanna Morris</v>
      </c>
      <c r="F206" s="21" t="str">
        <v/>
      </c>
      <c r="G206" s="26" t="str">
        <v/>
      </c>
      <c r="H206" s="24" t="str">
        <v/>
      </c>
      <c r="I206" s="2" t="str">
        <v/>
      </c>
      <c r="J206" s="19" t="str">
        <v/>
      </c>
      <c r="K206" s="20" t="b">
        <v>0</v>
      </c>
      <c r="L206" t="str">
        <v/>
      </c>
      <c r="M206" s="21" t="str">
        <v/>
      </c>
    </row>
    <row r="207" spans="1:13" x14ac:dyDescent="0.3">
      <c r="A207" s="7">
        <v>191673</v>
      </c>
      <c r="B207" t="str">
        <v>Amazon.com</v>
      </c>
      <c r="C207" s="2">
        <v>3194.2</v>
      </c>
      <c r="D207" s="21">
        <v>46060</v>
      </c>
      <c r="E207" t="str">
        <v>LuWanna Morris</v>
      </c>
      <c r="F207" s="21" t="str">
        <v/>
      </c>
      <c r="G207" s="26" t="str">
        <v/>
      </c>
      <c r="H207" s="24" t="str">
        <v/>
      </c>
      <c r="I207" s="2" t="str">
        <v/>
      </c>
      <c r="J207" s="19" t="str">
        <v>won</v>
      </c>
      <c r="K207" s="20" t="b">
        <v>0</v>
      </c>
      <c r="L207" t="str">
        <v/>
      </c>
      <c r="M207" s="21" t="str">
        <v/>
      </c>
    </row>
    <row r="208" spans="1:13" x14ac:dyDescent="0.3">
      <c r="A208" s="7">
        <v>191835</v>
      </c>
      <c r="B208" t="str">
        <v>Bell-Carter</v>
      </c>
      <c r="C208" s="2">
        <v>1511.44</v>
      </c>
      <c r="D208" s="21">
        <v>46065</v>
      </c>
      <c r="E208" t="str">
        <v>LuWanna Morris</v>
      </c>
      <c r="F208" s="21" t="str">
        <v/>
      </c>
      <c r="G208" s="26" t="str">
        <v/>
      </c>
      <c r="H208" s="24" t="str">
        <v/>
      </c>
      <c r="I208" s="2" t="str">
        <v/>
      </c>
      <c r="J208" s="19" t="str">
        <v>won</v>
      </c>
      <c r="K208" s="20" t="b">
        <v>0</v>
      </c>
      <c r="L208" t="str">
        <v/>
      </c>
      <c r="M208" s="21" t="str">
        <v/>
      </c>
    </row>
    <row r="209" spans="1:13" x14ac:dyDescent="0.3">
      <c r="A209" s="7">
        <v>191566</v>
      </c>
      <c r="B209" t="str">
        <v>BlueTriton Brands Inc.</v>
      </c>
      <c r="C209" s="2">
        <v>11839.88</v>
      </c>
      <c r="D209" s="21">
        <v>46064</v>
      </c>
      <c r="E209" t="str">
        <v>LuWanna Morris</v>
      </c>
      <c r="F209" s="21" t="str">
        <v/>
      </c>
      <c r="G209" s="26" t="str">
        <v/>
      </c>
      <c r="H209" s="24" t="str">
        <v/>
      </c>
      <c r="I209" s="2" t="str">
        <v/>
      </c>
      <c r="J209" s="19" t="str">
        <v>won</v>
      </c>
      <c r="K209" s="20" t="b">
        <v>0</v>
      </c>
      <c r="L209" t="str">
        <v/>
      </c>
      <c r="M209" s="21" t="str">
        <v/>
      </c>
    </row>
    <row r="210" spans="1:13" x14ac:dyDescent="0.3">
      <c r="A210" s="7">
        <v>191553</v>
      </c>
      <c r="B210" t="str">
        <v>Cargill</v>
      </c>
      <c r="C210" s="2">
        <v>3222</v>
      </c>
      <c r="D210" s="21">
        <v>46057</v>
      </c>
      <c r="E210" t="str">
        <v>LuWanna Morris</v>
      </c>
      <c r="F210" s="21" t="str">
        <v/>
      </c>
      <c r="G210" s="26" t="str">
        <v/>
      </c>
      <c r="H210" s="24" t="str">
        <v/>
      </c>
      <c r="I210" s="2" t="str">
        <v/>
      </c>
      <c r="J210" s="19" t="str">
        <v>won</v>
      </c>
      <c r="K210" s="20" t="b">
        <v>0</v>
      </c>
      <c r="L210" t="str">
        <v/>
      </c>
      <c r="M210" s="21" t="str">
        <v/>
      </c>
    </row>
    <row r="211" spans="1:13" x14ac:dyDescent="0.3">
      <c r="A211" s="7">
        <v>191681</v>
      </c>
      <c r="B211" t="str">
        <v>Cargill</v>
      </c>
      <c r="C211" s="2">
        <v>2860</v>
      </c>
      <c r="D211" s="21">
        <v>46060</v>
      </c>
      <c r="E211" t="str">
        <v>LuWanna Morris</v>
      </c>
      <c r="F211" s="21" t="str">
        <v/>
      </c>
      <c r="G211" s="26" t="str">
        <v/>
      </c>
      <c r="H211" s="24" t="str">
        <v/>
      </c>
      <c r="I211" s="2" t="str">
        <v/>
      </c>
      <c r="J211" s="19" t="str">
        <v>won</v>
      </c>
      <c r="K211" s="20" t="b">
        <v>0</v>
      </c>
      <c r="L211" t="str">
        <v/>
      </c>
      <c r="M211" s="21" t="str">
        <v/>
      </c>
    </row>
    <row r="212" spans="1:13" x14ac:dyDescent="0.3">
      <c r="A212" s="7">
        <v>191594</v>
      </c>
      <c r="B212" t="str">
        <v>Chewy Inc</v>
      </c>
      <c r="C212" s="2">
        <v>2064</v>
      </c>
      <c r="D212" s="21">
        <v>46058</v>
      </c>
      <c r="E212" t="str">
        <v>LuWanna Morris</v>
      </c>
      <c r="F212" s="21" t="str">
        <v/>
      </c>
      <c r="G212" s="26" t="str">
        <v/>
      </c>
      <c r="H212" s="24" t="str">
        <v/>
      </c>
      <c r="I212" s="2" t="str">
        <v/>
      </c>
      <c r="J212" s="19" t="str">
        <v>won</v>
      </c>
      <c r="K212" s="20" t="b">
        <v>0</v>
      </c>
      <c r="L212" t="str">
        <v/>
      </c>
      <c r="M212" s="21" t="str">
        <v/>
      </c>
    </row>
    <row r="213" spans="1:13" x14ac:dyDescent="0.3">
      <c r="A213" s="7">
        <v>191646</v>
      </c>
      <c r="B213" t="str">
        <v>Coca Cola</v>
      </c>
      <c r="C213" s="2">
        <v>1594</v>
      </c>
      <c r="D213" s="21">
        <v>46059</v>
      </c>
      <c r="E213" t="str">
        <v>LuWanna Morris</v>
      </c>
      <c r="F213" s="21" t="str">
        <v/>
      </c>
      <c r="G213" s="26" t="str">
        <v/>
      </c>
      <c r="H213" s="24" t="str">
        <v/>
      </c>
      <c r="I213" s="2" t="str">
        <v/>
      </c>
      <c r="J213" s="19" t="str">
        <v>won</v>
      </c>
      <c r="K213" s="20" t="b">
        <v>0</v>
      </c>
      <c r="L213" t="str">
        <v/>
      </c>
      <c r="M213" s="21" t="str">
        <v/>
      </c>
    </row>
    <row r="214" spans="1:13" x14ac:dyDescent="0.3">
      <c r="A214" s="7">
        <v>191644</v>
      </c>
      <c r="B214" t="str">
        <v>Cole Papers</v>
      </c>
      <c r="C214" s="2">
        <v>4904</v>
      </c>
      <c r="D214" s="21">
        <v>46059</v>
      </c>
      <c r="E214" t="str">
        <v>LuWanna Morris</v>
      </c>
      <c r="F214" s="21" t="str">
        <v/>
      </c>
      <c r="G214" s="26" t="str">
        <v/>
      </c>
      <c r="H214" s="24" t="str">
        <v/>
      </c>
      <c r="I214" s="2" t="str">
        <v/>
      </c>
      <c r="J214" s="19" t="str">
        <v>won</v>
      </c>
      <c r="K214" s="20" t="b">
        <v>0</v>
      </c>
      <c r="L214" t="str">
        <v/>
      </c>
      <c r="M214" s="21" t="str">
        <v/>
      </c>
    </row>
    <row r="215" spans="1:13" x14ac:dyDescent="0.3">
      <c r="A215" s="7">
        <v>191510</v>
      </c>
      <c r="B215" t="str">
        <v>ConAgra / Lamb Weston</v>
      </c>
      <c r="C215" s="2">
        <v>11616</v>
      </c>
      <c r="D215" s="21">
        <v>46056</v>
      </c>
      <c r="E215" t="str">
        <v>LuWanna Morris</v>
      </c>
      <c r="F215" s="21" t="str">
        <v/>
      </c>
      <c r="G215" s="26" t="str">
        <v/>
      </c>
      <c r="H215" s="24" t="str">
        <v/>
      </c>
      <c r="I215" s="2" t="str">
        <v/>
      </c>
      <c r="J215" s="19" t="str">
        <v>won</v>
      </c>
      <c r="K215" s="20" t="b">
        <v>0</v>
      </c>
      <c r="L215" t="str">
        <v/>
      </c>
      <c r="M215" s="21" t="str">
        <v/>
      </c>
    </row>
    <row r="216" spans="1:13" x14ac:dyDescent="0.3">
      <c r="A216" s="7">
        <v>191952</v>
      </c>
      <c r="B216" t="str">
        <v>DFA/Dean/Kemps/DairyMaid/Cumberland/Oak Farms/Frie</v>
      </c>
      <c r="C216" s="2">
        <v>3012</v>
      </c>
      <c r="D216" s="21">
        <v>46067</v>
      </c>
      <c r="E216" t="str">
        <v>LuWanna Morris</v>
      </c>
      <c r="F216" s="21" t="str">
        <v/>
      </c>
      <c r="G216" s="26" t="str">
        <v/>
      </c>
      <c r="H216" s="24" t="str">
        <v/>
      </c>
      <c r="I216" s="2" t="str">
        <v/>
      </c>
      <c r="J216" s="19" t="str">
        <v>won</v>
      </c>
      <c r="K216" s="20" t="b">
        <v>0</v>
      </c>
      <c r="L216" t="str">
        <v/>
      </c>
      <c r="M216" s="21" t="str">
        <v/>
      </c>
    </row>
    <row r="217" spans="1:13" x14ac:dyDescent="0.3">
      <c r="A217" s="7">
        <v>191550</v>
      </c>
      <c r="B217" t="str">
        <v>DXP Enterprises</v>
      </c>
      <c r="C217" s="2">
        <v>2388</v>
      </c>
      <c r="D217" s="21">
        <v>46058</v>
      </c>
      <c r="E217" t="str">
        <v>LuWanna Morris</v>
      </c>
      <c r="F217" s="21" t="str">
        <v/>
      </c>
      <c r="G217" s="26" t="str">
        <v/>
      </c>
      <c r="H217" s="24" t="str">
        <v/>
      </c>
      <c r="I217" s="2" t="str">
        <v/>
      </c>
      <c r="J217" s="19" t="str">
        <v>won</v>
      </c>
      <c r="K217" s="20" t="b">
        <v>0</v>
      </c>
      <c r="L217" t="str">
        <v/>
      </c>
      <c r="M217" s="21" t="str">
        <v/>
      </c>
    </row>
    <row r="218" spans="1:13" x14ac:dyDescent="0.3">
      <c r="A218" s="7">
        <v>191866</v>
      </c>
      <c r="B218" t="str">
        <v>DXP Enterprises</v>
      </c>
      <c r="C218" s="2">
        <v>1770</v>
      </c>
      <c r="D218" s="21">
        <v>46066</v>
      </c>
      <c r="E218" t="str">
        <v>LuWanna Morris</v>
      </c>
      <c r="F218" s="21" t="str">
        <v/>
      </c>
      <c r="G218" s="26" t="str">
        <v/>
      </c>
      <c r="H218" s="24" t="str">
        <v/>
      </c>
      <c r="I218" s="2" t="str">
        <v/>
      </c>
      <c r="J218" s="19" t="str">
        <v>won</v>
      </c>
      <c r="K218" s="20" t="b">
        <v>0</v>
      </c>
      <c r="L218" t="str">
        <v/>
      </c>
      <c r="M218" s="21" t="str">
        <v/>
      </c>
    </row>
    <row r="219" spans="1:13" x14ac:dyDescent="0.3">
      <c r="A219" s="7">
        <v>191603</v>
      </c>
      <c r="B219" t="str">
        <v>Diageo Americas Supply</v>
      </c>
      <c r="C219" s="2">
        <v>2196.1</v>
      </c>
      <c r="D219" s="21">
        <v>46063</v>
      </c>
      <c r="E219" t="str">
        <v>LuWanna Morris</v>
      </c>
      <c r="F219" s="21" t="str">
        <v/>
      </c>
      <c r="G219" s="26" t="str">
        <v/>
      </c>
      <c r="H219" s="24" t="str">
        <v/>
      </c>
      <c r="I219" s="2" t="str">
        <v/>
      </c>
      <c r="J219" s="19" t="str">
        <v>won</v>
      </c>
      <c r="K219" s="20" t="b">
        <v>0</v>
      </c>
      <c r="L219" t="str">
        <v/>
      </c>
      <c r="M219" s="21" t="str">
        <v/>
      </c>
    </row>
    <row r="220" spans="1:13" x14ac:dyDescent="0.3">
      <c r="A220" s="7">
        <v>191802</v>
      </c>
      <c r="B220" t="str">
        <v>Ecolab</v>
      </c>
      <c r="C220" s="2">
        <v>2233</v>
      </c>
      <c r="D220" s="21">
        <v>46064</v>
      </c>
      <c r="E220" t="str">
        <v>LuWanna Morris</v>
      </c>
      <c r="F220" s="21" t="str">
        <v/>
      </c>
      <c r="G220" s="26" t="str">
        <v/>
      </c>
      <c r="H220" s="24" t="str">
        <v/>
      </c>
      <c r="I220" s="2" t="str">
        <v/>
      </c>
      <c r="J220" s="19" t="str">
        <v>won</v>
      </c>
      <c r="K220" s="20" t="b">
        <v>0</v>
      </c>
      <c r="L220" t="str">
        <v/>
      </c>
      <c r="M220" s="21" t="str">
        <v/>
      </c>
    </row>
    <row r="221" spans="1:13" x14ac:dyDescent="0.3">
      <c r="A221" s="7">
        <v>191548</v>
      </c>
      <c r="B221" t="str">
        <v>FGF LLC</v>
      </c>
      <c r="C221" s="2">
        <v>1632</v>
      </c>
      <c r="D221" s="21">
        <v>46060</v>
      </c>
      <c r="E221" t="str">
        <v>LuWanna Morris</v>
      </c>
      <c r="F221" s="21" t="str">
        <v/>
      </c>
      <c r="G221" s="26" t="str">
        <v/>
      </c>
      <c r="H221" s="24" t="str">
        <v/>
      </c>
      <c r="I221" s="2" t="str">
        <v/>
      </c>
      <c r="J221" s="19" t="str">
        <v>won</v>
      </c>
      <c r="K221" s="20" t="b">
        <v>0</v>
      </c>
      <c r="L221" t="str">
        <v/>
      </c>
      <c r="M221" s="21" t="str">
        <v/>
      </c>
    </row>
    <row r="222" spans="1:13" x14ac:dyDescent="0.3">
      <c r="A222" s="7">
        <v>191739</v>
      </c>
      <c r="B222" t="str">
        <v>Golden Alaska Seafoods, LLC</v>
      </c>
      <c r="C222" s="2">
        <v>3566.55</v>
      </c>
      <c r="D222" s="21">
        <v>46064</v>
      </c>
      <c r="E222" t="str">
        <v>LuWanna Morris</v>
      </c>
      <c r="F222" s="21" t="str">
        <v/>
      </c>
      <c r="G222" s="26" t="str">
        <v/>
      </c>
      <c r="H222" s="24" t="str">
        <v/>
      </c>
      <c r="I222" s="2" t="str">
        <v/>
      </c>
      <c r="J222" s="19" t="str">
        <v>won</v>
      </c>
      <c r="K222" s="20" t="b">
        <v>0</v>
      </c>
      <c r="L222" t="str">
        <v/>
      </c>
      <c r="M222" s="21" t="str">
        <v/>
      </c>
    </row>
    <row r="223" spans="1:13" x14ac:dyDescent="0.3">
      <c r="A223" s="7">
        <v>191948</v>
      </c>
      <c r="B223" t="str">
        <v>I. Rice &amp; Co, Inc</v>
      </c>
      <c r="C223" s="2">
        <v>14600</v>
      </c>
      <c r="D223" s="21">
        <v>46067</v>
      </c>
      <c r="E223" t="str">
        <v>LuWanna Morris</v>
      </c>
      <c r="F223" s="21" t="str">
        <v/>
      </c>
      <c r="G223" s="26" t="str">
        <v/>
      </c>
      <c r="H223" s="24" t="str">
        <v/>
      </c>
      <c r="I223" s="2" t="str">
        <v/>
      </c>
      <c r="J223" s="19" t="str">
        <v>won</v>
      </c>
      <c r="K223" s="20" t="b">
        <v>0</v>
      </c>
      <c r="L223" t="str">
        <v/>
      </c>
      <c r="M223" s="21" t="str">
        <v/>
      </c>
    </row>
    <row r="224" spans="1:13" x14ac:dyDescent="0.3">
      <c r="A224" s="7">
        <v>191518</v>
      </c>
      <c r="B224" t="str">
        <v>KDC/One/Zobele/Northern Labs/Aerofil/Tri Tech</v>
      </c>
      <c r="C224" s="2">
        <v>2821.33</v>
      </c>
      <c r="D224" s="21">
        <v>46064</v>
      </c>
      <c r="E224" t="str">
        <v>LuWanna Morris</v>
      </c>
      <c r="F224" s="21" t="str">
        <v/>
      </c>
      <c r="G224" s="26" t="str">
        <v/>
      </c>
      <c r="H224" s="24" t="str">
        <v/>
      </c>
      <c r="I224" s="2" t="str">
        <v/>
      </c>
      <c r="J224" s="19" t="str">
        <v>won</v>
      </c>
      <c r="K224" s="20" t="b">
        <v>0</v>
      </c>
      <c r="L224" t="str">
        <v/>
      </c>
      <c r="M224" s="21" t="str">
        <v/>
      </c>
    </row>
    <row r="225" spans="1:13" x14ac:dyDescent="0.3">
      <c r="A225" s="7">
        <v>191963</v>
      </c>
      <c r="B225" t="str">
        <v>Kagome Foods Inc.</v>
      </c>
      <c r="C225" s="2">
        <v>2306</v>
      </c>
      <c r="D225" s="21">
        <v>46067</v>
      </c>
      <c r="E225" t="str">
        <v>LuWanna Morris</v>
      </c>
      <c r="F225" s="21" t="str">
        <v/>
      </c>
      <c r="G225" s="26" t="str">
        <v/>
      </c>
      <c r="H225" s="24" t="str">
        <v/>
      </c>
      <c r="I225" s="2" t="str">
        <v/>
      </c>
      <c r="J225" s="19" t="str">
        <v>won</v>
      </c>
      <c r="K225" s="20" t="b">
        <v>0</v>
      </c>
      <c r="L225" t="str">
        <v/>
      </c>
      <c r="M225" s="21" t="str">
        <v/>
      </c>
    </row>
    <row r="226" spans="1:13" x14ac:dyDescent="0.3">
      <c r="A226" s="7">
        <v>191831</v>
      </c>
      <c r="B226" t="str">
        <v>Keurig Dr Pepper</v>
      </c>
      <c r="C226" s="2">
        <v>1780</v>
      </c>
      <c r="D226" s="21">
        <v>46065</v>
      </c>
      <c r="E226" t="str">
        <v>LuWanna Morris</v>
      </c>
      <c r="F226" s="21" t="str">
        <v/>
      </c>
      <c r="G226" s="26" t="str">
        <v/>
      </c>
      <c r="H226" s="24" t="str">
        <v/>
      </c>
      <c r="I226" s="2" t="str">
        <v/>
      </c>
      <c r="J226" s="19" t="str">
        <v>won</v>
      </c>
      <c r="K226" s="20" t="b">
        <v>0</v>
      </c>
      <c r="L226" t="str">
        <v/>
      </c>
      <c r="M226" s="21" t="str">
        <v/>
      </c>
    </row>
    <row r="227" spans="1:13" x14ac:dyDescent="0.3">
      <c r="A227" s="7">
        <v>191556</v>
      </c>
      <c r="B227" t="str">
        <v>Kruger Foods</v>
      </c>
      <c r="C227" s="2">
        <v>1627</v>
      </c>
      <c r="D227" s="21">
        <v>46065</v>
      </c>
      <c r="E227" t="str">
        <v>LuWanna Morris</v>
      </c>
      <c r="F227" s="21" t="str">
        <v/>
      </c>
      <c r="G227" s="26" t="str">
        <v/>
      </c>
      <c r="H227" s="24" t="str">
        <v/>
      </c>
      <c r="I227" s="2" t="str">
        <v/>
      </c>
      <c r="J227" s="19" t="str">
        <v>won</v>
      </c>
      <c r="K227" s="20" t="b">
        <v>0</v>
      </c>
      <c r="L227" t="str">
        <v/>
      </c>
      <c r="M227" s="21" t="str">
        <v/>
      </c>
    </row>
    <row r="228" spans="1:13" x14ac:dyDescent="0.3">
      <c r="A228" s="7">
        <v>191845</v>
      </c>
      <c r="B228" t="str">
        <v>Malco Products, Inc.</v>
      </c>
      <c r="C228" s="2">
        <v>5009</v>
      </c>
      <c r="D228" s="21">
        <v>46066</v>
      </c>
      <c r="E228" t="str">
        <v>LuWanna Morris</v>
      </c>
      <c r="F228" s="21" t="str">
        <v/>
      </c>
      <c r="G228" s="26" t="str">
        <v/>
      </c>
      <c r="H228" s="24" t="str">
        <v/>
      </c>
      <c r="I228" s="2" t="str">
        <v/>
      </c>
      <c r="J228" s="19" t="str">
        <v>won</v>
      </c>
      <c r="K228" s="20" t="b">
        <v>0</v>
      </c>
      <c r="L228" t="str">
        <v/>
      </c>
      <c r="M228" s="21" t="str">
        <v/>
      </c>
    </row>
    <row r="229" spans="1:13" x14ac:dyDescent="0.3">
      <c r="A229" s="7">
        <v>191511</v>
      </c>
      <c r="B229" t="str">
        <v>Michael Foods, Inc.</v>
      </c>
      <c r="C229" s="2">
        <v>2625</v>
      </c>
      <c r="D229" s="21">
        <v>46059</v>
      </c>
      <c r="E229" t="str">
        <v>LuWanna Morris</v>
      </c>
      <c r="F229" s="21" t="str">
        <v/>
      </c>
      <c r="G229" s="26" t="str">
        <v/>
      </c>
      <c r="H229" s="24" t="str">
        <v/>
      </c>
      <c r="I229" s="2" t="str">
        <v/>
      </c>
      <c r="J229" s="19" t="str">
        <v>won</v>
      </c>
      <c r="K229" s="20" t="b">
        <v>0</v>
      </c>
      <c r="L229" t="str">
        <v/>
      </c>
      <c r="M229" s="21" t="str">
        <v/>
      </c>
    </row>
    <row r="230" spans="1:13" x14ac:dyDescent="0.3">
      <c r="A230" s="7">
        <v>191551</v>
      </c>
      <c r="B230" t="str">
        <v>Nelson Packaging Company, Inc.</v>
      </c>
      <c r="C230" s="2">
        <v>1608.48</v>
      </c>
      <c r="D230" s="21">
        <v>46058</v>
      </c>
      <c r="E230" t="str">
        <v>LuWanna Morris</v>
      </c>
      <c r="F230" s="21" t="str">
        <v/>
      </c>
      <c r="G230" s="26" t="str">
        <v/>
      </c>
      <c r="H230" s="24" t="str">
        <v/>
      </c>
      <c r="I230" s="2" t="str">
        <v/>
      </c>
      <c r="J230" s="19" t="str">
        <v>won</v>
      </c>
      <c r="K230" s="20" t="b">
        <v>0</v>
      </c>
      <c r="L230" t="str">
        <v/>
      </c>
      <c r="M230" s="21" t="str">
        <v/>
      </c>
    </row>
    <row r="231" spans="1:13" x14ac:dyDescent="0.3">
      <c r="A231" s="7">
        <v>191675</v>
      </c>
      <c r="B231" t="str">
        <v>Ornua Ingredients (Thiel Cheese)</v>
      </c>
      <c r="C231" s="2">
        <v>2496</v>
      </c>
      <c r="D231" s="21">
        <v>46063</v>
      </c>
      <c r="E231" t="str">
        <v>LuWanna Morris</v>
      </c>
      <c r="F231" s="21" t="str">
        <v/>
      </c>
      <c r="G231" s="26" t="str">
        <v/>
      </c>
      <c r="H231" s="24" t="str">
        <v/>
      </c>
      <c r="I231" s="2" t="str">
        <v/>
      </c>
      <c r="J231" s="19" t="str">
        <v>won</v>
      </c>
      <c r="K231" s="20" t="b">
        <v>0</v>
      </c>
      <c r="L231" t="str">
        <v/>
      </c>
      <c r="M231" s="21" t="str">
        <v/>
      </c>
    </row>
    <row r="232" spans="1:13" x14ac:dyDescent="0.3">
      <c r="A232" s="7">
        <v>191547</v>
      </c>
      <c r="B232" t="str">
        <v>Pacific Southwest Container</v>
      </c>
      <c r="C232" s="2">
        <v>1959.95</v>
      </c>
      <c r="D232" s="21">
        <v>46057</v>
      </c>
      <c r="E232" t="str">
        <v>LuWanna Morris</v>
      </c>
      <c r="F232" s="21" t="str">
        <v/>
      </c>
      <c r="G232" s="26" t="str">
        <v/>
      </c>
      <c r="H232" s="24" t="str">
        <v/>
      </c>
      <c r="I232" s="2" t="str">
        <v/>
      </c>
      <c r="J232" s="19" t="str">
        <v>won</v>
      </c>
      <c r="K232" s="20" t="b">
        <v>0</v>
      </c>
      <c r="L232" t="str">
        <v/>
      </c>
      <c r="M232" s="21" t="str">
        <v/>
      </c>
    </row>
    <row r="233" spans="1:13" x14ac:dyDescent="0.3">
      <c r="A233" s="7">
        <v>191837</v>
      </c>
      <c r="B233" t="str">
        <v>PepsiCo</v>
      </c>
      <c r="C233" s="2">
        <v>4575.18</v>
      </c>
      <c r="D233" s="21">
        <v>46065</v>
      </c>
      <c r="E233" t="str">
        <v>LuWanna Morris</v>
      </c>
      <c r="F233" s="21" t="str">
        <v/>
      </c>
      <c r="G233" s="26" t="str">
        <v/>
      </c>
      <c r="H233" s="24" t="str">
        <v/>
      </c>
      <c r="I233" s="2" t="str">
        <v/>
      </c>
      <c r="J233" s="19" t="str">
        <v>won</v>
      </c>
      <c r="K233" s="20" t="b">
        <v>0</v>
      </c>
      <c r="L233" t="str">
        <v/>
      </c>
      <c r="M233" s="21" t="str">
        <v/>
      </c>
    </row>
    <row r="234" spans="1:13" x14ac:dyDescent="0.3">
      <c r="A234" s="7">
        <v>191906</v>
      </c>
      <c r="B234" t="str">
        <v>PepsiCo</v>
      </c>
      <c r="C234" s="2">
        <v>1871.56</v>
      </c>
      <c r="D234" s="21">
        <v>46066</v>
      </c>
      <c r="E234" t="str">
        <v>LuWanna Morris</v>
      </c>
      <c r="F234" s="21" t="str">
        <v/>
      </c>
      <c r="G234" s="26" t="str">
        <v/>
      </c>
      <c r="H234" s="24" t="str">
        <v/>
      </c>
      <c r="I234" s="2" t="str">
        <v/>
      </c>
      <c r="J234" s="19" t="str">
        <v>won</v>
      </c>
      <c r="K234" s="20" t="b">
        <v>0</v>
      </c>
      <c r="L234" t="str">
        <v/>
      </c>
      <c r="M234" s="21" t="str">
        <v/>
      </c>
    </row>
    <row r="235" spans="1:13" x14ac:dyDescent="0.3">
      <c r="A235" s="7">
        <v>191689</v>
      </c>
      <c r="B235" t="str">
        <v>Pete &amp; Gerry's Organics, LLC</v>
      </c>
      <c r="C235" s="2">
        <v>1820</v>
      </c>
      <c r="D235" s="21">
        <v>46060</v>
      </c>
      <c r="E235" t="str">
        <v>LuWanna Morris</v>
      </c>
      <c r="F235" s="21" t="str">
        <v/>
      </c>
      <c r="G235" s="26" t="str">
        <v/>
      </c>
      <c r="H235" s="24" t="str">
        <v/>
      </c>
      <c r="I235" s="2" t="str">
        <v/>
      </c>
      <c r="J235" s="19" t="str">
        <v>won</v>
      </c>
      <c r="K235" s="20" t="b">
        <v>0</v>
      </c>
      <c r="L235" t="str">
        <v/>
      </c>
      <c r="M235" s="21" t="str">
        <v/>
      </c>
    </row>
    <row r="236" spans="1:13" x14ac:dyDescent="0.3">
      <c r="A236" s="7">
        <v>191960</v>
      </c>
      <c r="B236" t="str">
        <v>Processors Inc./Guidry's Catfish</v>
      </c>
      <c r="C236" s="2">
        <v>5859.15</v>
      </c>
      <c r="D236" s="21">
        <v>46067</v>
      </c>
      <c r="E236" t="str">
        <v>LuWanna Morris</v>
      </c>
      <c r="F236" s="21" t="str">
        <v/>
      </c>
      <c r="G236" s="26" t="str">
        <v/>
      </c>
      <c r="H236" s="24" t="str">
        <v/>
      </c>
      <c r="I236" s="2" t="str">
        <v/>
      </c>
      <c r="J236" s="19" t="str">
        <v>won</v>
      </c>
      <c r="K236" s="20" t="b">
        <v>0</v>
      </c>
      <c r="L236" t="str">
        <v/>
      </c>
      <c r="M236" s="21" t="str">
        <v/>
      </c>
    </row>
    <row r="237" spans="1:13" x14ac:dyDescent="0.3">
      <c r="A237" s="7">
        <v>191546</v>
      </c>
      <c r="B237" t="str">
        <v>Ross Stores, Inc.</v>
      </c>
      <c r="C237" s="2">
        <v>10664.8</v>
      </c>
      <c r="D237" s="21">
        <v>46057</v>
      </c>
      <c r="E237" t="str">
        <v>LuWanna Morris</v>
      </c>
      <c r="F237" s="21" t="str">
        <v/>
      </c>
      <c r="G237" s="26" t="str">
        <v/>
      </c>
      <c r="H237" s="24" t="str">
        <v/>
      </c>
      <c r="I237" s="2" t="str">
        <v/>
      </c>
      <c r="J237" s="19" t="str">
        <v>won</v>
      </c>
      <c r="K237" s="20" t="b">
        <v>0</v>
      </c>
      <c r="L237" t="str">
        <v/>
      </c>
      <c r="M237" s="21" t="str">
        <v/>
      </c>
    </row>
    <row r="238" spans="1:13" x14ac:dyDescent="0.3">
      <c r="A238" s="7">
        <v>191535</v>
      </c>
      <c r="B238" t="str">
        <v>Ross Stores, Inc.</v>
      </c>
      <c r="C238" s="2">
        <v>8416.43</v>
      </c>
      <c r="D238" s="21">
        <v>46058</v>
      </c>
      <c r="E238" t="str">
        <v>LuWanna Morris</v>
      </c>
      <c r="F238" s="21" t="str">
        <v/>
      </c>
      <c r="G238" s="26" t="str">
        <v/>
      </c>
      <c r="H238" s="24" t="str">
        <v/>
      </c>
      <c r="I238" s="2" t="str">
        <v/>
      </c>
      <c r="J238" s="19" t="str">
        <v>won</v>
      </c>
      <c r="K238" s="20" t="b">
        <v>0</v>
      </c>
      <c r="L238" t="str">
        <v/>
      </c>
      <c r="M238" s="21" t="str">
        <v/>
      </c>
    </row>
    <row r="239" spans="1:13" x14ac:dyDescent="0.3">
      <c r="A239" s="7">
        <v>191854</v>
      </c>
      <c r="B239" t="str">
        <v>Ross Stores, Inc.</v>
      </c>
      <c r="C239" s="2">
        <v>3530.78</v>
      </c>
      <c r="D239" s="21">
        <v>46065</v>
      </c>
      <c r="E239" t="str">
        <v>LuWanna Morris</v>
      </c>
      <c r="F239" s="21" t="str">
        <v/>
      </c>
      <c r="G239" s="26" t="str">
        <v/>
      </c>
      <c r="H239" s="24" t="str">
        <v/>
      </c>
      <c r="I239" s="2" t="str">
        <v/>
      </c>
      <c r="J239" s="19" t="str">
        <v>won</v>
      </c>
      <c r="K239" s="20" t="b">
        <v>0</v>
      </c>
      <c r="L239" t="str">
        <v/>
      </c>
      <c r="M239" s="21" t="str">
        <v/>
      </c>
    </row>
    <row r="240" spans="1:13" x14ac:dyDescent="0.3">
      <c r="A240" s="7">
        <v>191519</v>
      </c>
      <c r="B240" t="str">
        <v>SW Brewing / Tilray Beer / American Bev</v>
      </c>
      <c r="C240" s="2">
        <v>2564.87</v>
      </c>
      <c r="D240" s="21">
        <v>46057</v>
      </c>
      <c r="E240" t="str">
        <v>LuWanna Morris</v>
      </c>
      <c r="F240" s="21" t="str">
        <v/>
      </c>
      <c r="G240" s="26" t="str">
        <v/>
      </c>
      <c r="H240" s="24" t="str">
        <v/>
      </c>
      <c r="I240" s="2" t="str">
        <v/>
      </c>
      <c r="J240" s="19" t="str">
        <v>won</v>
      </c>
      <c r="K240" s="20" t="b">
        <v>0</v>
      </c>
      <c r="L240" t="str">
        <v/>
      </c>
      <c r="M240" s="21" t="str">
        <v/>
      </c>
    </row>
    <row r="241" spans="1:13" x14ac:dyDescent="0.3">
      <c r="A241" s="7">
        <v>191662</v>
      </c>
      <c r="B241" t="str">
        <v>Sage Products/Strykiso</v>
      </c>
      <c r="C241" s="2">
        <v>7115.3</v>
      </c>
      <c r="D241" s="21">
        <v>46066</v>
      </c>
      <c r="E241" t="str">
        <v>LuWanna Morris</v>
      </c>
      <c r="F241" s="21" t="str">
        <v/>
      </c>
      <c r="G241" s="26" t="str">
        <v/>
      </c>
      <c r="H241" s="24" t="str">
        <v/>
      </c>
      <c r="I241" s="2" t="str">
        <v/>
      </c>
      <c r="J241" s="19" t="str">
        <v>won</v>
      </c>
      <c r="K241" s="20" t="b">
        <v>0</v>
      </c>
      <c r="L241" t="str">
        <v/>
      </c>
      <c r="M241" s="21" t="str">
        <v/>
      </c>
    </row>
    <row r="242" spans="1:13" x14ac:dyDescent="0.3">
      <c r="A242" s="7">
        <v>191636</v>
      </c>
      <c r="B242" t="str">
        <v>Sage V Foods</v>
      </c>
      <c r="C242" s="2">
        <v>1799</v>
      </c>
      <c r="D242" s="21">
        <v>46059</v>
      </c>
      <c r="E242" t="str">
        <v>LuWanna Morris</v>
      </c>
      <c r="F242" s="21" t="str">
        <v/>
      </c>
      <c r="G242" s="26" t="str">
        <v/>
      </c>
      <c r="H242" s="24" t="str">
        <v/>
      </c>
      <c r="I242" s="2" t="str">
        <v/>
      </c>
      <c r="J242" s="19" t="str">
        <v>won</v>
      </c>
      <c r="K242" s="20" t="b">
        <v>0</v>
      </c>
      <c r="L242" t="str">
        <v/>
      </c>
      <c r="M242" s="21" t="str">
        <v/>
      </c>
    </row>
    <row r="243" spans="1:13" x14ac:dyDescent="0.3">
      <c r="A243" s="7">
        <v>191500</v>
      </c>
      <c r="B243" t="str">
        <v>SoJo Industries</v>
      </c>
      <c r="C243" s="2">
        <v>6047.28</v>
      </c>
      <c r="D243" s="21">
        <v>46056</v>
      </c>
      <c r="E243" t="str">
        <v>LuWanna Morris</v>
      </c>
      <c r="F243" s="21" t="str">
        <v/>
      </c>
      <c r="G243" s="26" t="str">
        <v/>
      </c>
      <c r="H243" s="24" t="str">
        <v/>
      </c>
      <c r="I243" s="2" t="str">
        <v/>
      </c>
      <c r="J243" s="19" t="str">
        <v>won</v>
      </c>
      <c r="K243" s="20" t="b">
        <v>0</v>
      </c>
      <c r="L243" t="str">
        <v/>
      </c>
      <c r="M243" s="21" t="str">
        <v/>
      </c>
    </row>
    <row r="244" spans="1:13" x14ac:dyDescent="0.3">
      <c r="A244" s="7">
        <v>191583</v>
      </c>
      <c r="B244" t="str">
        <v>SoJo Industries</v>
      </c>
      <c r="C244" s="2">
        <v>1847</v>
      </c>
      <c r="D244" s="21">
        <v>46066</v>
      </c>
      <c r="E244" t="str">
        <v>LuWanna Morris</v>
      </c>
      <c r="F244" s="21" t="str">
        <v/>
      </c>
      <c r="G244" s="26" t="str">
        <v/>
      </c>
      <c r="H244" s="24" t="str">
        <v/>
      </c>
      <c r="I244" s="2" t="str">
        <v/>
      </c>
      <c r="J244" s="19" t="str">
        <v>won</v>
      </c>
      <c r="K244" s="20" t="b">
        <v>0</v>
      </c>
      <c r="L244" t="str">
        <v/>
      </c>
      <c r="M244" s="21" t="str">
        <v/>
      </c>
    </row>
    <row r="245" spans="1:13" x14ac:dyDescent="0.3">
      <c r="A245" s="7">
        <v>191509</v>
      </c>
      <c r="B245" t="str">
        <v>Star Kay White</v>
      </c>
      <c r="C245" s="2">
        <v>2436</v>
      </c>
      <c r="D245" s="21">
        <v>46057</v>
      </c>
      <c r="E245" t="str">
        <v>LuWanna Morris</v>
      </c>
      <c r="F245" s="21" t="str">
        <v/>
      </c>
      <c r="G245" s="26" t="str">
        <v/>
      </c>
      <c r="H245" s="24" t="str">
        <v/>
      </c>
      <c r="I245" s="2" t="str">
        <v/>
      </c>
      <c r="J245" s="19" t="str">
        <v>won</v>
      </c>
      <c r="K245" s="20" t="b">
        <v>0</v>
      </c>
      <c r="L245" t="str">
        <v/>
      </c>
      <c r="M245" s="21" t="str">
        <v/>
      </c>
    </row>
    <row r="246" spans="1:13" x14ac:dyDescent="0.3">
      <c r="A246" s="7">
        <v>191687</v>
      </c>
      <c r="B246" t="str">
        <v>Treehouse California Almonds, LLC</v>
      </c>
      <c r="C246" s="2">
        <v>8772.65</v>
      </c>
      <c r="D246" s="21">
        <v>46063</v>
      </c>
      <c r="E246" t="str">
        <v>LuWanna Morris</v>
      </c>
      <c r="F246" s="21" t="str">
        <v/>
      </c>
      <c r="G246" s="26" t="str">
        <v/>
      </c>
      <c r="H246" s="24" t="str">
        <v/>
      </c>
      <c r="I246" s="2" t="str">
        <v/>
      </c>
      <c r="J246" s="19" t="str">
        <v>won</v>
      </c>
      <c r="K246" s="20" t="b">
        <v>0</v>
      </c>
      <c r="L246" t="str">
        <v/>
      </c>
      <c r="M246" s="21" t="str">
        <v/>
      </c>
    </row>
    <row r="247" spans="1:13" x14ac:dyDescent="0.3">
      <c r="A247" s="7">
        <v>191784</v>
      </c>
      <c r="B247" t="str">
        <v>Tyson Foods, Inc. HQ</v>
      </c>
      <c r="C247" s="2">
        <v>2309.0700000000002</v>
      </c>
      <c r="D247" s="21">
        <v>46065</v>
      </c>
      <c r="E247" t="str">
        <v>LuWanna Morris</v>
      </c>
      <c r="F247" s="21" t="str">
        <v/>
      </c>
      <c r="G247" s="26" t="str">
        <v/>
      </c>
      <c r="H247" s="24" t="str">
        <v/>
      </c>
      <c r="I247" s="2" t="str">
        <v/>
      </c>
      <c r="J247" s="19" t="str">
        <v>won</v>
      </c>
      <c r="K247" s="20" t="b">
        <v>0</v>
      </c>
      <c r="L247" t="str">
        <v/>
      </c>
      <c r="M247" s="21" t="str">
        <v/>
      </c>
    </row>
    <row r="248" spans="1:13" x14ac:dyDescent="0.3">
      <c r="A248" s="7">
        <v>191939</v>
      </c>
      <c r="B248" t="str">
        <v>Tyson Foods, Inc. HQ</v>
      </c>
      <c r="C248" s="2">
        <v>1591.92</v>
      </c>
      <c r="D248" s="21">
        <v>46067</v>
      </c>
      <c r="E248" t="str">
        <v>LuWanna Morris</v>
      </c>
      <c r="F248" s="21" t="str">
        <v/>
      </c>
      <c r="G248" s="26" t="str">
        <v/>
      </c>
      <c r="H248" s="24" t="str">
        <v/>
      </c>
      <c r="I248" s="2" t="str">
        <v/>
      </c>
      <c r="J248" s="19" t="str">
        <v>won</v>
      </c>
      <c r="K248" s="20" t="b">
        <v>0</v>
      </c>
      <c r="L248" t="str">
        <v/>
      </c>
      <c r="M248" s="21" t="str">
        <v/>
      </c>
    </row>
    <row r="249" spans="1:13" x14ac:dyDescent="0.3">
      <c r="A249" s="7">
        <v>191597</v>
      </c>
      <c r="B249" t="str">
        <v>Alphasite Inc.</v>
      </c>
      <c r="C249" s="2">
        <v>2226.96</v>
      </c>
      <c r="D249" s="21">
        <v>46059</v>
      </c>
      <c r="E249" t="str">
        <v>LuWanna Morris</v>
      </c>
      <c r="F249" s="21" t="str">
        <v/>
      </c>
      <c r="G249" s="26" t="str">
        <v/>
      </c>
      <c r="H249" s="24" t="str">
        <v/>
      </c>
      <c r="I249" s="2" t="str">
        <v/>
      </c>
      <c r="J249" s="19" t="str">
        <v>won</v>
      </c>
      <c r="K249" s="20" t="b">
        <v>0</v>
      </c>
      <c r="L249" t="str">
        <v/>
      </c>
      <c r="M249" s="21" t="str">
        <v/>
      </c>
    </row>
    <row r="250" spans="1:13" x14ac:dyDescent="0.3">
      <c r="A250" s="7">
        <v>191673</v>
      </c>
      <c r="B250" t="str">
        <v>Amazon.com</v>
      </c>
      <c r="C250" s="2">
        <v>3194.2</v>
      </c>
      <c r="D250" s="21">
        <v>46060</v>
      </c>
      <c r="E250" t="str">
        <v>LuWanna Morris</v>
      </c>
      <c r="F250" s="21" t="str">
        <v/>
      </c>
      <c r="G250" s="26" t="str">
        <v/>
      </c>
      <c r="H250" s="24" t="str">
        <v/>
      </c>
      <c r="I250" s="2" t="str">
        <v/>
      </c>
      <c r="J250" s="19" t="str">
        <v>won</v>
      </c>
      <c r="K250" s="20" t="b">
        <v>0</v>
      </c>
      <c r="L250" t="str">
        <v/>
      </c>
      <c r="M250" s="21" t="str">
        <v/>
      </c>
    </row>
    <row r="251" spans="1:13" x14ac:dyDescent="0.3">
      <c r="A251" s="7">
        <v>191835</v>
      </c>
      <c r="B251" t="str">
        <v>Bell-Carter</v>
      </c>
      <c r="C251" s="2">
        <v>1511.44</v>
      </c>
      <c r="D251" s="21">
        <v>46065</v>
      </c>
      <c r="E251" t="str">
        <v>LuWanna Morris</v>
      </c>
      <c r="F251" s="21" t="str">
        <v/>
      </c>
      <c r="G251" s="26" t="str">
        <v/>
      </c>
      <c r="H251" s="24" t="str">
        <v/>
      </c>
      <c r="I251" s="2" t="str">
        <v/>
      </c>
      <c r="J251" s="19" t="str">
        <v>won</v>
      </c>
      <c r="K251" t="b">
        <v>0</v>
      </c>
      <c r="L251" t="str">
        <v/>
      </c>
      <c r="M251" s="21" t="str">
        <v/>
      </c>
    </row>
    <row r="252" spans="1:13" x14ac:dyDescent="0.3">
      <c r="A252" s="7">
        <v>191566</v>
      </c>
      <c r="B252" t="str">
        <v>BlueTriton Brands Inc.</v>
      </c>
      <c r="C252" s="2">
        <v>11839.88</v>
      </c>
      <c r="D252" s="21">
        <v>46064</v>
      </c>
      <c r="E252" t="str">
        <v>LuWanna Morris</v>
      </c>
      <c r="F252" s="21" t="str">
        <v/>
      </c>
      <c r="G252" s="26" t="str">
        <v/>
      </c>
      <c r="H252" s="24" t="str">
        <v/>
      </c>
      <c r="I252" s="2" t="str">
        <v/>
      </c>
      <c r="J252" s="19" t="str">
        <v>won</v>
      </c>
      <c r="K252" t="b">
        <v>0</v>
      </c>
      <c r="L252" t="str">
        <v/>
      </c>
      <c r="M252" s="21" t="str">
        <v/>
      </c>
    </row>
    <row r="253" spans="1:13" x14ac:dyDescent="0.3">
      <c r="A253" s="7">
        <v>191553</v>
      </c>
      <c r="B253" t="str">
        <v>Cargill</v>
      </c>
      <c r="C253" s="2">
        <v>3222</v>
      </c>
      <c r="D253" s="21">
        <v>46057</v>
      </c>
      <c r="E253" t="str">
        <v>LuWanna Morris</v>
      </c>
      <c r="F253" s="21" t="str">
        <v/>
      </c>
      <c r="G253" s="26" t="str">
        <v/>
      </c>
      <c r="H253" s="24" t="str">
        <v/>
      </c>
      <c r="I253" s="2" t="str">
        <v/>
      </c>
      <c r="J253" s="19" t="str">
        <v>won</v>
      </c>
      <c r="K253" t="b">
        <v>0</v>
      </c>
      <c r="L253" t="str">
        <v/>
      </c>
      <c r="M253" s="21" t="str">
        <v/>
      </c>
    </row>
    <row r="254" spans="1:13" x14ac:dyDescent="0.3">
      <c r="A254" s="7">
        <v>191681</v>
      </c>
      <c r="B254" t="str">
        <v>Cargill</v>
      </c>
      <c r="C254" s="2">
        <v>2860</v>
      </c>
      <c r="D254" s="21">
        <v>46060</v>
      </c>
      <c r="E254" t="str">
        <v>LuWanna Morris</v>
      </c>
      <c r="F254" s="21" t="str">
        <v/>
      </c>
      <c r="G254" s="26" t="str">
        <v/>
      </c>
      <c r="H254" s="24" t="str">
        <v/>
      </c>
      <c r="I254" s="2" t="str">
        <v/>
      </c>
      <c r="J254" s="19" t="str">
        <v>won</v>
      </c>
      <c r="K254" t="b">
        <v>0</v>
      </c>
      <c r="L254" t="str">
        <v/>
      </c>
      <c r="M254" s="21" t="str">
        <v/>
      </c>
    </row>
    <row r="255" spans="1:13" x14ac:dyDescent="0.3">
      <c r="A255" s="7">
        <v>191594</v>
      </c>
      <c r="B255" t="str">
        <v>Chewy Inc</v>
      </c>
      <c r="C255" s="2">
        <v>2064</v>
      </c>
      <c r="D255" s="21">
        <v>46058</v>
      </c>
      <c r="E255" t="str">
        <v>LuWanna Morris</v>
      </c>
      <c r="F255" s="21" t="str">
        <v/>
      </c>
      <c r="G255" s="26" t="str">
        <v/>
      </c>
      <c r="H255" s="24" t="str">
        <v/>
      </c>
      <c r="I255" s="2" t="str">
        <v/>
      </c>
      <c r="J255" s="19" t="str">
        <v>won</v>
      </c>
      <c r="K255" t="b">
        <v>0</v>
      </c>
      <c r="L255" t="str">
        <v/>
      </c>
      <c r="M255" s="21" t="str">
        <v/>
      </c>
    </row>
    <row r="256" spans="1:13" x14ac:dyDescent="0.3">
      <c r="A256" s="7">
        <v>191646</v>
      </c>
      <c r="B256" t="str">
        <v>Coca Cola</v>
      </c>
      <c r="C256" s="2">
        <v>1594</v>
      </c>
      <c r="D256" s="21">
        <v>46059</v>
      </c>
      <c r="E256" t="str">
        <v>LuWanna Morris</v>
      </c>
      <c r="F256" s="21" t="str">
        <v/>
      </c>
      <c r="G256" s="26" t="str">
        <v/>
      </c>
      <c r="H256" s="24" t="str">
        <v/>
      </c>
      <c r="I256" s="2" t="str">
        <v/>
      </c>
      <c r="J256" s="19" t="str">
        <v>won</v>
      </c>
      <c r="K256" t="b">
        <v>0</v>
      </c>
      <c r="L256" t="str">
        <v/>
      </c>
      <c r="M256" s="21" t="str">
        <v/>
      </c>
    </row>
    <row r="257" spans="1:13" x14ac:dyDescent="0.3">
      <c r="A257" s="7">
        <v>191644</v>
      </c>
      <c r="B257" t="str">
        <v>Cole Papers</v>
      </c>
      <c r="C257" s="2">
        <v>4904</v>
      </c>
      <c r="D257" s="21">
        <v>46059</v>
      </c>
      <c r="E257" t="str">
        <v>LuWanna Morris</v>
      </c>
      <c r="F257" s="21" t="str">
        <v/>
      </c>
      <c r="G257" s="26" t="str">
        <v/>
      </c>
      <c r="H257" s="24" t="str">
        <v/>
      </c>
      <c r="I257" s="2" t="str">
        <v/>
      </c>
      <c r="J257" s="19" t="str">
        <v>won</v>
      </c>
      <c r="K257" t="b">
        <v>0</v>
      </c>
      <c r="L257" t="str">
        <v/>
      </c>
      <c r="M257" s="21" t="str">
        <v/>
      </c>
    </row>
    <row r="258" spans="1:13" x14ac:dyDescent="0.3">
      <c r="A258" s="7">
        <v>191510</v>
      </c>
      <c r="B258" t="str">
        <v>ConAgra / Lamb Weston</v>
      </c>
      <c r="C258" s="2">
        <v>11616</v>
      </c>
      <c r="D258" s="21">
        <v>46056</v>
      </c>
      <c r="E258" t="str">
        <v>LuWanna Morris</v>
      </c>
      <c r="F258" s="21" t="str">
        <v/>
      </c>
      <c r="G258" s="26" t="str">
        <v/>
      </c>
      <c r="H258" s="24" t="str">
        <v/>
      </c>
      <c r="I258" s="2" t="str">
        <v/>
      </c>
      <c r="J258" s="19" t="str">
        <v>won</v>
      </c>
      <c r="K258" t="b">
        <v>0</v>
      </c>
      <c r="L258" t="str">
        <v/>
      </c>
      <c r="M258" s="21" t="str">
        <v/>
      </c>
    </row>
    <row r="259" spans="1:13" x14ac:dyDescent="0.3">
      <c r="A259" s="7">
        <v>191952</v>
      </c>
      <c r="B259" t="str">
        <v>DFA/Dean/Kemps/DairyMaid/Cumberland/Oak Farms/Frie</v>
      </c>
      <c r="C259" s="2">
        <v>3012</v>
      </c>
      <c r="D259" s="21">
        <v>46067</v>
      </c>
      <c r="E259" t="str">
        <v>LuWanna Morris</v>
      </c>
      <c r="F259" s="21" t="str">
        <v/>
      </c>
      <c r="G259" s="26" t="str">
        <v/>
      </c>
      <c r="H259" s="24" t="str">
        <v/>
      </c>
      <c r="I259" s="2" t="str">
        <v/>
      </c>
      <c r="J259" s="19" t="str">
        <v>won</v>
      </c>
      <c r="K259" t="b">
        <v>0</v>
      </c>
      <c r="L259" t="str">
        <v/>
      </c>
      <c r="M259" s="21" t="str">
        <v/>
      </c>
    </row>
    <row r="260" spans="1:13" x14ac:dyDescent="0.3">
      <c r="A260" s="7">
        <v>191929</v>
      </c>
      <c r="B260" t="str">
        <v>DFA/Dean/Kemps/DairyMaid/Cumberland/Oak Farms/Frie</v>
      </c>
      <c r="C260" s="2">
        <v>2370.7600000000002</v>
      </c>
      <c r="D260" s="21">
        <v>46066</v>
      </c>
      <c r="E260" t="str">
        <v>LuWanna Morris</v>
      </c>
      <c r="F260" s="21" t="str">
        <v/>
      </c>
      <c r="G260" s="26" t="str">
        <v/>
      </c>
      <c r="H260" s="24" t="str">
        <v/>
      </c>
      <c r="I260" s="2" t="str">
        <v/>
      </c>
      <c r="J260" s="19" t="str">
        <v>won</v>
      </c>
      <c r="K260" t="b">
        <v>0</v>
      </c>
      <c r="L260" t="str">
        <v/>
      </c>
      <c r="M260" s="21" t="str">
        <v/>
      </c>
    </row>
    <row r="261" spans="1:13" x14ac:dyDescent="0.3">
      <c r="A261" s="7">
        <v>191550</v>
      </c>
      <c r="B261" t="str">
        <v>DXP Enterprises</v>
      </c>
      <c r="C261" s="2">
        <v>2388</v>
      </c>
      <c r="D261" s="21">
        <v>46058</v>
      </c>
      <c r="E261" t="str">
        <v>LuWanna Morris</v>
      </c>
      <c r="F261" s="21" t="str">
        <v/>
      </c>
      <c r="G261" s="26" t="str">
        <v/>
      </c>
      <c r="H261" s="24" t="str">
        <v/>
      </c>
      <c r="I261" s="2" t="str">
        <v/>
      </c>
      <c r="J261" s="19" t="str">
        <v>won</v>
      </c>
      <c r="K261" t="b">
        <v>0</v>
      </c>
      <c r="L261" t="str">
        <v/>
      </c>
      <c r="M261" s="21" t="str">
        <v/>
      </c>
    </row>
    <row r="262" spans="1:13" x14ac:dyDescent="0.3">
      <c r="A262" s="7">
        <v>191866</v>
      </c>
      <c r="B262" t="str">
        <v>DXP Enterprises</v>
      </c>
      <c r="C262" s="2">
        <v>1770</v>
      </c>
      <c r="D262" s="21">
        <v>46066</v>
      </c>
      <c r="E262" t="str">
        <v>LuWanna Morris</v>
      </c>
      <c r="F262" s="21" t="str">
        <v/>
      </c>
      <c r="G262" s="26" t="str">
        <v/>
      </c>
      <c r="H262" s="24" t="str">
        <v/>
      </c>
      <c r="I262" s="2" t="str">
        <v/>
      </c>
      <c r="J262" s="19" t="str">
        <v>won</v>
      </c>
      <c r="K262" t="b">
        <v>0</v>
      </c>
      <c r="L262" t="str">
        <v/>
      </c>
      <c r="M262" s="21" t="str">
        <v/>
      </c>
    </row>
    <row r="263" spans="1:13" x14ac:dyDescent="0.3">
      <c r="A263" s="7">
        <v>191603</v>
      </c>
      <c r="B263" t="str">
        <v>Diageo Americas Supply</v>
      </c>
      <c r="C263" s="2">
        <v>2196.1</v>
      </c>
      <c r="D263" s="21">
        <v>46063</v>
      </c>
      <c r="E263" t="str">
        <v>LuWanna Morris</v>
      </c>
      <c r="F263" s="21" t="str">
        <v/>
      </c>
      <c r="G263" s="26" t="str">
        <v/>
      </c>
      <c r="H263" s="24" t="str">
        <v/>
      </c>
      <c r="I263" s="2" t="str">
        <v/>
      </c>
      <c r="J263" s="19" t="str">
        <v>won</v>
      </c>
      <c r="K263" t="b">
        <v>0</v>
      </c>
      <c r="L263" t="str">
        <v/>
      </c>
      <c r="M263" s="21" t="str">
        <v/>
      </c>
    </row>
    <row r="264" spans="1:13" x14ac:dyDescent="0.3">
      <c r="A264" s="7">
        <v>191802</v>
      </c>
      <c r="B264" t="str">
        <v>Ecolab</v>
      </c>
      <c r="C264" s="2">
        <v>2233</v>
      </c>
      <c r="D264" s="21">
        <v>46064</v>
      </c>
      <c r="E264" t="str">
        <v>LuWanna Morris</v>
      </c>
      <c r="F264" s="21" t="str">
        <v/>
      </c>
      <c r="G264" s="26" t="str">
        <v/>
      </c>
      <c r="H264" s="24" t="str">
        <v/>
      </c>
      <c r="I264" s="2" t="str">
        <v/>
      </c>
      <c r="J264" s="19" t="str">
        <v>won</v>
      </c>
      <c r="K264" t="b">
        <v>0</v>
      </c>
      <c r="L264" t="str">
        <v/>
      </c>
      <c r="M264" s="21" t="str">
        <v/>
      </c>
    </row>
    <row r="265" spans="1:13" x14ac:dyDescent="0.3">
      <c r="A265" s="7">
        <v>191548</v>
      </c>
      <c r="B265" t="str">
        <v>FGF LLC</v>
      </c>
      <c r="C265" s="2">
        <v>1632</v>
      </c>
      <c r="D265" s="21">
        <v>46060</v>
      </c>
      <c r="E265" t="str">
        <v>LuWanna Morris</v>
      </c>
      <c r="F265" s="21" t="str">
        <v/>
      </c>
      <c r="G265" s="26" t="str">
        <v/>
      </c>
      <c r="H265" s="24" t="str">
        <v/>
      </c>
      <c r="I265" s="2" t="str">
        <v/>
      </c>
      <c r="J265" s="19" t="str">
        <v>won</v>
      </c>
      <c r="K265" t="b">
        <v>0</v>
      </c>
      <c r="L265" t="str">
        <v/>
      </c>
      <c r="M265" s="21" t="str">
        <v/>
      </c>
    </row>
    <row r="266" spans="1:13" x14ac:dyDescent="0.3">
      <c r="A266" s="7">
        <v>191739</v>
      </c>
      <c r="B266" t="str">
        <v>Golden Alaska Seafoods, LLC</v>
      </c>
      <c r="C266" s="2">
        <v>3566.55</v>
      </c>
      <c r="D266" s="21">
        <v>46064</v>
      </c>
      <c r="E266" t="str">
        <v>LuWanna Morris</v>
      </c>
      <c r="F266" s="21" t="str">
        <v/>
      </c>
      <c r="G266" s="26" t="str">
        <v/>
      </c>
      <c r="H266" s="24" t="str">
        <v/>
      </c>
      <c r="I266" s="2" t="str">
        <v/>
      </c>
      <c r="J266" s="19" t="str">
        <v>won</v>
      </c>
      <c r="K266" t="b">
        <v>0</v>
      </c>
      <c r="L266" t="str">
        <v/>
      </c>
      <c r="M266" s="21" t="str">
        <v/>
      </c>
    </row>
    <row r="267" spans="1:13" x14ac:dyDescent="0.3">
      <c r="A267" s="7">
        <v>191696</v>
      </c>
      <c r="B267" t="str">
        <v>Henggeler Packing Company, Inc.</v>
      </c>
      <c r="C267" s="2">
        <v>1761.07</v>
      </c>
      <c r="D267" s="21">
        <v>46064</v>
      </c>
      <c r="E267" t="str">
        <v>LuWanna Morris</v>
      </c>
      <c r="F267" s="21" t="str">
        <v/>
      </c>
      <c r="G267" s="26" t="str">
        <v/>
      </c>
      <c r="H267" s="24" t="str">
        <v/>
      </c>
      <c r="I267" s="2" t="str">
        <v/>
      </c>
      <c r="J267" s="19" t="str">
        <v>won</v>
      </c>
      <c r="K267" t="b">
        <v>0</v>
      </c>
      <c r="L267" t="str">
        <v/>
      </c>
      <c r="M267" s="21" t="str">
        <v/>
      </c>
    </row>
    <row r="268" spans="1:13" x14ac:dyDescent="0.3">
      <c r="A268" s="7">
        <v>191948</v>
      </c>
      <c r="B268" t="str">
        <v>I. Rice &amp; Co, Inc</v>
      </c>
      <c r="C268" s="2">
        <v>14600</v>
      </c>
      <c r="D268" s="21">
        <v>46067</v>
      </c>
      <c r="E268" t="str">
        <v>LuWanna Morris</v>
      </c>
      <c r="F268" s="21" t="str">
        <v/>
      </c>
      <c r="G268" s="26" t="str">
        <v/>
      </c>
      <c r="H268" s="24" t="str">
        <v/>
      </c>
      <c r="I268" s="2" t="str">
        <v/>
      </c>
      <c r="J268" s="19" t="str">
        <v>won</v>
      </c>
      <c r="K268" t="b">
        <v>0</v>
      </c>
      <c r="L268" t="str">
        <v/>
      </c>
      <c r="M268" s="21" t="str">
        <v/>
      </c>
    </row>
    <row r="269" spans="1:13" x14ac:dyDescent="0.3">
      <c r="A269" s="7">
        <v>191595</v>
      </c>
      <c r="B269" t="str">
        <v>JBS USA</v>
      </c>
      <c r="C269" s="2">
        <v>1586.13</v>
      </c>
      <c r="D269" s="21">
        <v>46058</v>
      </c>
      <c r="E269" t="str">
        <v>LuWanna Morris</v>
      </c>
      <c r="F269" s="21" t="str">
        <v/>
      </c>
      <c r="G269" s="26" t="str">
        <v/>
      </c>
      <c r="H269" s="24" t="str">
        <v/>
      </c>
      <c r="I269" s="2" t="str">
        <v/>
      </c>
      <c r="J269" s="19" t="str">
        <v>won</v>
      </c>
      <c r="K269" t="b">
        <v>0</v>
      </c>
      <c r="L269" t="str">
        <v/>
      </c>
      <c r="M269" s="21" t="str">
        <v/>
      </c>
    </row>
    <row r="270" spans="1:13" x14ac:dyDescent="0.3">
      <c r="A270" s="7">
        <v>191518</v>
      </c>
      <c r="B270" t="str">
        <v>KDC/One/Zobele/Northern Labs/Aerofil/Tri Tech</v>
      </c>
      <c r="C270" s="2">
        <v>2821.33</v>
      </c>
      <c r="D270" s="21">
        <v>46064</v>
      </c>
      <c r="E270" t="str">
        <v>LuWanna Morris</v>
      </c>
      <c r="F270" s="21" t="str">
        <v/>
      </c>
      <c r="G270" s="26" t="str">
        <v/>
      </c>
      <c r="H270" s="24" t="str">
        <v/>
      </c>
      <c r="I270" s="2" t="str">
        <v/>
      </c>
      <c r="J270" s="19" t="str">
        <v>won</v>
      </c>
      <c r="K270" t="b">
        <v>0</v>
      </c>
      <c r="L270" t="str">
        <v/>
      </c>
      <c r="M270" s="21" t="str">
        <v/>
      </c>
    </row>
    <row r="271" spans="1:13" x14ac:dyDescent="0.3">
      <c r="A271" s="7">
        <v>191963</v>
      </c>
      <c r="B271" t="str">
        <v>Kagome Foods Inc.</v>
      </c>
      <c r="C271" s="2">
        <v>2306</v>
      </c>
      <c r="D271" s="21">
        <v>46067</v>
      </c>
      <c r="E271" t="str">
        <v>LuWanna Morris</v>
      </c>
      <c r="F271" s="21" t="str">
        <v/>
      </c>
      <c r="G271" s="26" t="str">
        <v/>
      </c>
      <c r="H271" s="24" t="str">
        <v/>
      </c>
      <c r="I271" s="2" t="str">
        <v/>
      </c>
      <c r="J271" s="19" t="str">
        <v>won</v>
      </c>
      <c r="K271" t="b">
        <v>0</v>
      </c>
      <c r="L271" t="str">
        <v/>
      </c>
      <c r="M271" s="21" t="str">
        <v/>
      </c>
    </row>
    <row r="272" spans="1:13" x14ac:dyDescent="0.3">
      <c r="A272" s="7">
        <v>191831</v>
      </c>
      <c r="B272" t="str">
        <v>Keurig Dr Pepper</v>
      </c>
      <c r="C272" s="2">
        <v>1780</v>
      </c>
      <c r="D272" s="21">
        <v>46065</v>
      </c>
      <c r="E272" t="str">
        <v>LuWanna Morris</v>
      </c>
      <c r="F272" s="21" t="str">
        <v/>
      </c>
      <c r="G272" s="26" t="str">
        <v/>
      </c>
      <c r="H272" s="24" t="str">
        <v/>
      </c>
      <c r="I272" s="2" t="str">
        <v/>
      </c>
      <c r="J272" s="19" t="str">
        <v>won</v>
      </c>
      <c r="K272" t="b">
        <v>0</v>
      </c>
      <c r="L272" t="str">
        <v/>
      </c>
      <c r="M272" s="21" t="str">
        <v/>
      </c>
    </row>
    <row r="273" spans="1:13" x14ac:dyDescent="0.3">
      <c r="A273" s="7">
        <v>191556</v>
      </c>
      <c r="B273" t="str">
        <v>Kruger Foods</v>
      </c>
      <c r="C273" s="2">
        <v>1627</v>
      </c>
      <c r="D273" s="21">
        <v>46065</v>
      </c>
      <c r="E273" t="str">
        <v>LuWanna Morris</v>
      </c>
      <c r="F273" s="21" t="str">
        <v/>
      </c>
      <c r="G273" s="26" t="str">
        <v/>
      </c>
      <c r="H273" s="24" t="str">
        <v/>
      </c>
      <c r="I273" s="2" t="str">
        <v/>
      </c>
      <c r="J273" s="19" t="str">
        <v>won</v>
      </c>
      <c r="K273" t="b">
        <v>0</v>
      </c>
      <c r="L273" t="str">
        <v/>
      </c>
      <c r="M273" s="21" t="str">
        <v/>
      </c>
    </row>
    <row r="274" spans="1:13" x14ac:dyDescent="0.3">
      <c r="A274" s="7">
        <v>191656</v>
      </c>
      <c r="B274" t="str">
        <v>Lagunitas Brewing Co</v>
      </c>
      <c r="C274" s="2">
        <v>1737</v>
      </c>
      <c r="D274" s="21">
        <v>46059</v>
      </c>
      <c r="E274" t="str">
        <v>LuWanna Morris</v>
      </c>
      <c r="F274" s="21" t="str">
        <v/>
      </c>
      <c r="G274" s="26" t="str">
        <v/>
      </c>
      <c r="H274" s="24" t="str">
        <v/>
      </c>
      <c r="I274" s="2" t="str">
        <v/>
      </c>
      <c r="J274" s="19" t="str">
        <v>won</v>
      </c>
      <c r="K274" t="b">
        <v>0</v>
      </c>
      <c r="L274" t="str">
        <v/>
      </c>
      <c r="M274" s="21" t="str">
        <v/>
      </c>
    </row>
    <row r="275" spans="1:13" x14ac:dyDescent="0.3">
      <c r="A275" s="7">
        <v>191860</v>
      </c>
      <c r="B275" t="str">
        <v>Leprino Foods Company</v>
      </c>
      <c r="C275" s="2">
        <v>2695</v>
      </c>
      <c r="D275" s="21">
        <v>46065</v>
      </c>
      <c r="E275" t="str">
        <v>LuWanna Morris</v>
      </c>
      <c r="F275" s="21" t="str">
        <v/>
      </c>
      <c r="G275" s="26" t="str">
        <v/>
      </c>
      <c r="H275" s="24" t="str">
        <v/>
      </c>
      <c r="I275" s="2" t="str">
        <v/>
      </c>
      <c r="J275" s="19" t="str">
        <v>won</v>
      </c>
      <c r="K275" t="b">
        <v>0</v>
      </c>
      <c r="L275" t="str">
        <v/>
      </c>
      <c r="M275" s="21" t="str">
        <v/>
      </c>
    </row>
    <row r="276" spans="1:13" x14ac:dyDescent="0.3">
      <c r="A276" s="7">
        <v>191845</v>
      </c>
      <c r="B276" t="str">
        <v>Malco Products, Inc.</v>
      </c>
      <c r="C276" s="2">
        <v>5009</v>
      </c>
      <c r="D276" s="21">
        <v>46066</v>
      </c>
      <c r="E276" t="str">
        <v>LuWanna Morris</v>
      </c>
      <c r="F276" s="21" t="str">
        <v/>
      </c>
      <c r="G276" s="26" t="str">
        <v/>
      </c>
      <c r="H276" s="24" t="str">
        <v/>
      </c>
      <c r="I276" s="2" t="str">
        <v/>
      </c>
      <c r="J276" s="19" t="str">
        <v>won</v>
      </c>
      <c r="K276" t="b">
        <v>0</v>
      </c>
      <c r="L276" t="str">
        <v/>
      </c>
      <c r="M276" s="21" t="str">
        <v/>
      </c>
    </row>
    <row r="277" spans="1:13" x14ac:dyDescent="0.3">
      <c r="A277" s="7">
        <v>191511</v>
      </c>
      <c r="B277" t="str">
        <v>Michael Foods, Inc.</v>
      </c>
      <c r="C277" s="2">
        <v>2625</v>
      </c>
      <c r="D277" s="21">
        <v>46059</v>
      </c>
      <c r="E277" t="str">
        <v>LuWanna Morris</v>
      </c>
      <c r="F277" s="21" t="str">
        <v/>
      </c>
      <c r="G277" s="26" t="str">
        <v/>
      </c>
      <c r="H277" s="24" t="str">
        <v/>
      </c>
      <c r="I277" s="2" t="str">
        <v/>
      </c>
      <c r="J277" s="19" t="str">
        <v>won</v>
      </c>
      <c r="K277" t="b">
        <v>0</v>
      </c>
      <c r="L277" t="str">
        <v/>
      </c>
      <c r="M277" s="21" t="str">
        <v/>
      </c>
    </row>
    <row r="278" spans="1:13" x14ac:dyDescent="0.3">
      <c r="A278" s="7">
        <v>191551</v>
      </c>
      <c r="B278" t="str">
        <v>Nelson Packaging Company, Inc.</v>
      </c>
      <c r="C278" s="2">
        <v>1608.48</v>
      </c>
      <c r="D278" s="21">
        <v>46058</v>
      </c>
      <c r="E278" t="str">
        <v>LuWanna Morris</v>
      </c>
      <c r="F278" s="21" t="str">
        <v/>
      </c>
      <c r="G278" s="26" t="str">
        <v/>
      </c>
      <c r="H278" s="24" t="str">
        <v/>
      </c>
      <c r="I278" s="2" t="str">
        <v/>
      </c>
      <c r="J278" s="19" t="str">
        <v>won</v>
      </c>
      <c r="K278" t="b">
        <v>0</v>
      </c>
      <c r="L278" t="str">
        <v/>
      </c>
      <c r="M278" s="21" t="str">
        <v/>
      </c>
    </row>
    <row r="279" spans="1:13" x14ac:dyDescent="0.3">
      <c r="A279" s="7">
        <v>191675</v>
      </c>
      <c r="B279" t="str">
        <v>Ornua Ingredients (Thiel Cheese)</v>
      </c>
      <c r="C279" s="2">
        <v>2496</v>
      </c>
      <c r="D279" s="21">
        <v>46063</v>
      </c>
      <c r="E279" t="str">
        <v>LuWanna Morris</v>
      </c>
      <c r="F279" s="21" t="str">
        <v/>
      </c>
      <c r="G279" s="26" t="str">
        <v/>
      </c>
      <c r="H279" s="24" t="str">
        <v/>
      </c>
      <c r="I279" s="2" t="str">
        <v/>
      </c>
      <c r="J279" s="19" t="str">
        <v>won</v>
      </c>
      <c r="K279" t="b">
        <v>0</v>
      </c>
      <c r="L279" t="str">
        <v/>
      </c>
      <c r="M279" s="21" t="str">
        <v/>
      </c>
    </row>
    <row r="280" spans="1:13" x14ac:dyDescent="0.3">
      <c r="A280" s="7">
        <v>191547</v>
      </c>
      <c r="B280" t="str">
        <v>Pacific Southwest Container</v>
      </c>
      <c r="C280" s="2">
        <v>1959.95</v>
      </c>
      <c r="D280" s="21">
        <v>46057</v>
      </c>
      <c r="E280" t="str">
        <v>LuWanna Morris</v>
      </c>
      <c r="F280" s="21" t="str">
        <v/>
      </c>
      <c r="G280" s="26" t="str">
        <v/>
      </c>
      <c r="H280" s="24" t="str">
        <v/>
      </c>
      <c r="I280" s="2" t="str">
        <v/>
      </c>
      <c r="J280" s="19" t="str">
        <v>won</v>
      </c>
      <c r="K280" t="b">
        <v>0</v>
      </c>
      <c r="L280" t="str">
        <v/>
      </c>
      <c r="M280" s="21" t="str">
        <v/>
      </c>
    </row>
    <row r="281" spans="1:13" x14ac:dyDescent="0.3">
      <c r="A281" s="7">
        <v>191837</v>
      </c>
      <c r="B281" t="str">
        <v>PepsiCo</v>
      </c>
      <c r="C281" s="2">
        <v>4575.18</v>
      </c>
      <c r="D281" s="21">
        <v>46065</v>
      </c>
      <c r="E281" t="str">
        <v>LuWanna Morris</v>
      </c>
      <c r="F281" s="21" t="str">
        <v/>
      </c>
      <c r="G281" s="26" t="str">
        <v/>
      </c>
      <c r="H281" s="24" t="str">
        <v/>
      </c>
      <c r="I281" s="2" t="str">
        <v/>
      </c>
      <c r="J281" s="19" t="str">
        <v>won</v>
      </c>
      <c r="K281" t="b">
        <v>0</v>
      </c>
      <c r="L281" t="str">
        <v/>
      </c>
      <c r="M281" s="21" t="str">
        <v/>
      </c>
    </row>
    <row r="282" spans="1:13" x14ac:dyDescent="0.3">
      <c r="A282" s="7">
        <v>191888</v>
      </c>
      <c r="B282" t="str">
        <v>PepsiCo</v>
      </c>
      <c r="C282" s="2">
        <v>3526</v>
      </c>
      <c r="D282" s="21">
        <v>46066</v>
      </c>
      <c r="E282" t="str">
        <v>LuWanna Morris</v>
      </c>
      <c r="F282" s="21" t="str">
        <v/>
      </c>
      <c r="G282" s="26" t="str">
        <v/>
      </c>
      <c r="H282" s="24" t="str">
        <v/>
      </c>
      <c r="I282" s="2" t="str">
        <v/>
      </c>
      <c r="J282" s="19" t="str">
        <v>won</v>
      </c>
      <c r="K282" t="b">
        <v>0</v>
      </c>
      <c r="L282" t="str">
        <v/>
      </c>
      <c r="M282" s="21" t="str">
        <v/>
      </c>
    </row>
    <row r="283" spans="1:13" x14ac:dyDescent="0.3">
      <c r="A283" s="7">
        <v>191906</v>
      </c>
      <c r="B283" t="str">
        <v>PepsiCo</v>
      </c>
      <c r="C283" s="2">
        <v>1871.56</v>
      </c>
      <c r="D283" s="21">
        <v>46066</v>
      </c>
      <c r="E283" t="str">
        <v>LuWanna Morris</v>
      </c>
      <c r="F283" s="21" t="str">
        <v/>
      </c>
      <c r="G283" s="26" t="str">
        <v/>
      </c>
      <c r="H283" s="24" t="str">
        <v/>
      </c>
      <c r="I283" s="2" t="str">
        <v/>
      </c>
      <c r="J283" s="19" t="str">
        <v>won</v>
      </c>
      <c r="K283" t="b">
        <v>0</v>
      </c>
      <c r="L283" t="str">
        <v/>
      </c>
      <c r="M283" s="21" t="str">
        <v/>
      </c>
    </row>
    <row r="284" spans="1:13" x14ac:dyDescent="0.3">
      <c r="A284" s="7">
        <v>191689</v>
      </c>
      <c r="B284" t="str">
        <v>Pete &amp; Gerry's Organics, LLC</v>
      </c>
      <c r="C284" s="2">
        <v>1820</v>
      </c>
      <c r="D284" s="21">
        <v>46060</v>
      </c>
      <c r="E284" t="str">
        <v>LuWanna Morris</v>
      </c>
      <c r="F284" s="21" t="str">
        <v/>
      </c>
      <c r="G284" s="26" t="str">
        <v/>
      </c>
      <c r="H284" s="24" t="str">
        <v/>
      </c>
      <c r="I284" s="2" t="str">
        <v/>
      </c>
      <c r="J284" s="19" t="str">
        <v>won</v>
      </c>
      <c r="K284" t="b">
        <v>0</v>
      </c>
      <c r="L284" t="str">
        <v/>
      </c>
      <c r="M284" s="21" t="str">
        <v/>
      </c>
    </row>
    <row r="285" spans="1:13" x14ac:dyDescent="0.3">
      <c r="A285" s="7">
        <v>191960</v>
      </c>
      <c r="B285" t="str">
        <v>Processors Inc./Guidry's Catfish</v>
      </c>
      <c r="C285" s="2">
        <v>5859.15</v>
      </c>
      <c r="D285" s="21">
        <v>46067</v>
      </c>
      <c r="E285" t="str">
        <v>LuWanna Morris</v>
      </c>
      <c r="F285" s="21" t="str">
        <v/>
      </c>
      <c r="G285" s="26" t="str">
        <v/>
      </c>
      <c r="H285" s="24" t="str">
        <v/>
      </c>
      <c r="I285" s="2" t="str">
        <v/>
      </c>
      <c r="J285" s="19" t="str">
        <v>won</v>
      </c>
      <c r="K285" t="b">
        <v>0</v>
      </c>
      <c r="L285" t="str">
        <v/>
      </c>
      <c r="M285" s="21" t="str">
        <v/>
      </c>
    </row>
    <row r="286" spans="1:13" x14ac:dyDescent="0.3">
      <c r="A286" s="7">
        <v>191954</v>
      </c>
      <c r="B286" t="str">
        <v>Processors Inc./Guidry's Catfish</v>
      </c>
      <c r="C286" s="2">
        <v>4662.67</v>
      </c>
      <c r="D286" s="21">
        <v>46067</v>
      </c>
      <c r="E286" t="str">
        <v>LuWanna Morris</v>
      </c>
      <c r="F286" s="21" t="str">
        <v/>
      </c>
      <c r="G286" s="26" t="str">
        <v/>
      </c>
      <c r="H286" s="24" t="str">
        <v/>
      </c>
      <c r="I286" s="2" t="str">
        <v/>
      </c>
      <c r="J286" s="19" t="str">
        <v>won</v>
      </c>
      <c r="K286" t="b">
        <v>0</v>
      </c>
      <c r="L286" t="str">
        <v/>
      </c>
      <c r="M286" s="21" t="str">
        <v/>
      </c>
    </row>
    <row r="287" spans="1:13" x14ac:dyDescent="0.3">
      <c r="A287" s="7">
        <v>191546</v>
      </c>
      <c r="B287" t="str">
        <v>Ross Stores, Inc.</v>
      </c>
      <c r="C287" s="2">
        <v>10664.8</v>
      </c>
      <c r="D287" s="21">
        <v>46057</v>
      </c>
      <c r="E287" t="str">
        <v>LuWanna Morris</v>
      </c>
      <c r="F287" s="21" t="str">
        <v/>
      </c>
      <c r="G287" s="26" t="str">
        <v/>
      </c>
      <c r="H287" s="24" t="str">
        <v/>
      </c>
      <c r="I287" s="2" t="str">
        <v/>
      </c>
      <c r="J287" s="19" t="str">
        <v>won</v>
      </c>
      <c r="K287" t="b">
        <v>0</v>
      </c>
      <c r="L287" t="str">
        <v/>
      </c>
      <c r="M287" s="21" t="str">
        <v/>
      </c>
    </row>
    <row r="288" spans="1:13" x14ac:dyDescent="0.3">
      <c r="A288" s="7">
        <v>191535</v>
      </c>
      <c r="B288" t="str">
        <v>Ross Stores, Inc.</v>
      </c>
      <c r="C288" s="2">
        <v>8416.43</v>
      </c>
      <c r="D288" s="21">
        <v>46058</v>
      </c>
      <c r="E288" t="str">
        <v>LuWanna Morris</v>
      </c>
      <c r="F288" s="21" t="str">
        <v/>
      </c>
      <c r="G288" s="26" t="str">
        <v/>
      </c>
      <c r="H288" s="24" t="str">
        <v/>
      </c>
      <c r="I288" s="2" t="str">
        <v/>
      </c>
      <c r="J288" s="19" t="str">
        <v>won</v>
      </c>
      <c r="K288" t="b">
        <v>0</v>
      </c>
      <c r="L288" t="str">
        <v/>
      </c>
      <c r="M288" s="21" t="str">
        <v/>
      </c>
    </row>
    <row r="289" spans="1:13" x14ac:dyDescent="0.3">
      <c r="A289" s="7">
        <v>191519</v>
      </c>
      <c r="B289" t="str">
        <v>SW Brewing / Tilray Beer / American Bev</v>
      </c>
      <c r="C289" s="2">
        <v>2564.87</v>
      </c>
      <c r="D289" s="21">
        <v>46057</v>
      </c>
      <c r="E289" t="str">
        <v>LuWanna Morris</v>
      </c>
      <c r="F289" s="21" t="str">
        <v/>
      </c>
      <c r="G289" s="26" t="str">
        <v/>
      </c>
      <c r="H289" s="24" t="str">
        <v/>
      </c>
      <c r="I289" s="2" t="str">
        <v/>
      </c>
      <c r="J289" s="19" t="str">
        <v>won</v>
      </c>
      <c r="K289" t="b">
        <v>0</v>
      </c>
      <c r="L289" t="str">
        <v/>
      </c>
      <c r="M289" s="21" t="str">
        <v/>
      </c>
    </row>
    <row r="290" spans="1:13" x14ac:dyDescent="0.3">
      <c r="A290" s="7">
        <v>191662</v>
      </c>
      <c r="B290" t="str">
        <v>Sage Products/Strykiso</v>
      </c>
      <c r="C290" s="2">
        <v>7115.3</v>
      </c>
      <c r="D290" s="21">
        <v>46066</v>
      </c>
      <c r="E290" t="str">
        <v>LuWanna Morris</v>
      </c>
      <c r="F290" s="21" t="str">
        <v/>
      </c>
      <c r="G290" s="26" t="str">
        <v/>
      </c>
      <c r="H290" s="24" t="str">
        <v/>
      </c>
      <c r="I290" s="2" t="str">
        <v/>
      </c>
      <c r="J290" s="19" t="str">
        <v>won</v>
      </c>
      <c r="K290" t="b">
        <v>0</v>
      </c>
      <c r="L290" t="str">
        <v/>
      </c>
      <c r="M290" s="21" t="str">
        <v/>
      </c>
    </row>
    <row r="291" spans="1:13" x14ac:dyDescent="0.3">
      <c r="A291" s="7">
        <v>191636</v>
      </c>
      <c r="B291" t="str">
        <v>Sage V Foods</v>
      </c>
      <c r="C291" s="2">
        <v>1799</v>
      </c>
      <c r="D291" s="21">
        <v>46059</v>
      </c>
      <c r="E291" t="str">
        <v>LuWanna Morris</v>
      </c>
      <c r="F291" s="21" t="str">
        <v/>
      </c>
      <c r="G291" s="26" t="str">
        <v/>
      </c>
      <c r="H291" s="24" t="str">
        <v/>
      </c>
      <c r="I291" s="2" t="str">
        <v/>
      </c>
      <c r="J291" s="19" t="str">
        <v>won</v>
      </c>
      <c r="K291" t="b">
        <v>0</v>
      </c>
      <c r="L291" t="str">
        <v/>
      </c>
      <c r="M291" s="21" t="str">
        <v/>
      </c>
    </row>
    <row r="292" spans="1:13" x14ac:dyDescent="0.3">
      <c r="A292" s="7">
        <v>191500</v>
      </c>
      <c r="B292" t="str">
        <v>SoJo Industries</v>
      </c>
      <c r="C292" s="2">
        <v>6047.28</v>
      </c>
      <c r="D292" s="21">
        <v>46056</v>
      </c>
      <c r="E292" t="str">
        <v>LuWanna Morris</v>
      </c>
      <c r="F292" s="21" t="str">
        <v/>
      </c>
      <c r="G292" s="26" t="str">
        <v/>
      </c>
      <c r="H292" s="24" t="str">
        <v/>
      </c>
      <c r="I292" s="2" t="str">
        <v/>
      </c>
      <c r="J292" s="19" t="str">
        <v>won</v>
      </c>
      <c r="K292" t="b">
        <v>0</v>
      </c>
      <c r="L292" t="str">
        <v/>
      </c>
      <c r="M292" s="21" t="str">
        <v/>
      </c>
    </row>
    <row r="293" spans="1:13" x14ac:dyDescent="0.3">
      <c r="A293" s="7">
        <v>191583</v>
      </c>
      <c r="B293" t="str">
        <v>SoJo Industries</v>
      </c>
      <c r="C293" s="2">
        <v>1847</v>
      </c>
      <c r="D293" s="21">
        <v>46066</v>
      </c>
      <c r="E293" t="str">
        <v>LuWanna Morris</v>
      </c>
      <c r="F293" s="21" t="str">
        <v/>
      </c>
      <c r="G293" s="26" t="str">
        <v/>
      </c>
      <c r="H293" s="24" t="str">
        <v/>
      </c>
      <c r="I293" s="2" t="str">
        <v/>
      </c>
      <c r="J293" s="19" t="str">
        <v>won</v>
      </c>
      <c r="K293" t="b">
        <v>0</v>
      </c>
      <c r="L293" t="str">
        <v/>
      </c>
      <c r="M293" s="21" t="str">
        <v/>
      </c>
    </row>
    <row r="294" spans="1:13" x14ac:dyDescent="0.3">
      <c r="A294" s="7">
        <v>191509</v>
      </c>
      <c r="B294" t="str">
        <v>Star Kay White</v>
      </c>
      <c r="C294" s="2">
        <v>2436</v>
      </c>
      <c r="D294" s="21">
        <v>46057</v>
      </c>
      <c r="E294" t="str">
        <v>LuWanna Morris</v>
      </c>
      <c r="F294" s="21" t="str">
        <v/>
      </c>
      <c r="G294" s="26" t="str">
        <v/>
      </c>
      <c r="H294" s="24" t="str">
        <v/>
      </c>
      <c r="I294" s="2" t="str">
        <v/>
      </c>
      <c r="J294" s="19" t="str">
        <v>won</v>
      </c>
      <c r="K294" t="b">
        <v>0</v>
      </c>
      <c r="L294" t="str">
        <v/>
      </c>
      <c r="M294" s="21" t="str">
        <v/>
      </c>
    </row>
    <row r="295" spans="1:13" x14ac:dyDescent="0.3">
      <c r="A295" s="7">
        <v>191687</v>
      </c>
      <c r="B295" t="str">
        <v>Treehouse California Almonds, LLC</v>
      </c>
      <c r="C295" s="2">
        <v>8772.65</v>
      </c>
      <c r="D295" s="21">
        <v>46063</v>
      </c>
      <c r="E295" t="str">
        <v>LuWanna Morris</v>
      </c>
      <c r="F295" s="21" t="str">
        <v/>
      </c>
      <c r="G295" s="26" t="str">
        <v/>
      </c>
      <c r="H295" s="24" t="str">
        <v/>
      </c>
      <c r="I295" s="2" t="str">
        <v/>
      </c>
      <c r="J295" s="19" t="str">
        <v>won</v>
      </c>
      <c r="K295" t="b">
        <v>0</v>
      </c>
      <c r="L295" t="str">
        <v/>
      </c>
      <c r="M295" s="21" t="str">
        <v/>
      </c>
    </row>
    <row r="296" spans="1:13" x14ac:dyDescent="0.3">
      <c r="A296" s="7">
        <v>191939</v>
      </c>
      <c r="B296" t="str">
        <v>Tyson Foods, Inc. HQ</v>
      </c>
      <c r="C296" s="2">
        <v>1591.92</v>
      </c>
      <c r="D296" s="21">
        <v>46067</v>
      </c>
      <c r="E296" t="str">
        <v>LuWanna Morris</v>
      </c>
      <c r="F296" s="21" t="str">
        <v/>
      </c>
      <c r="G296" s="26" t="str">
        <v/>
      </c>
      <c r="H296" s="24" t="str">
        <v/>
      </c>
      <c r="I296" s="2" t="str">
        <v/>
      </c>
      <c r="J296" s="19" t="str">
        <v>won</v>
      </c>
      <c r="K296" t="b">
        <v>0</v>
      </c>
      <c r="L296" t="str">
        <v/>
      </c>
      <c r="M296" s="21" t="str">
        <v/>
      </c>
    </row>
    <row r="297" spans="1:13" x14ac:dyDescent="0.3">
      <c r="A297" s="7">
        <v>191846</v>
      </c>
      <c r="B297" t="str">
        <v>Church &amp; Dwight</v>
      </c>
      <c r="C297" s="2">
        <v>2119.5</v>
      </c>
      <c r="D297" s="21">
        <v>46065</v>
      </c>
      <c r="E297" t="str">
        <v>Reid Kincaid</v>
      </c>
      <c r="F297" s="21" t="str">
        <v/>
      </c>
      <c r="G297" s="26" t="str">
        <v/>
      </c>
      <c r="H297" s="24" t="str">
        <v/>
      </c>
      <c r="I297" s="2" t="str">
        <v/>
      </c>
      <c r="J297" s="19" t="str">
        <v>Won</v>
      </c>
      <c r="K297" t="b">
        <v>0</v>
      </c>
      <c r="L297" t="str">
        <v/>
      </c>
      <c r="M297" s="21" t="str">
        <v/>
      </c>
    </row>
    <row r="298" spans="1:13" x14ac:dyDescent="0.3">
      <c r="A298" s="7">
        <v>191927</v>
      </c>
      <c r="B298" t="str">
        <v>Kari-Out Company</v>
      </c>
      <c r="C298" s="2">
        <v>1950.28</v>
      </c>
      <c r="D298" s="21">
        <v>46066</v>
      </c>
      <c r="E298" t="str">
        <v>Reid Kincaid</v>
      </c>
      <c r="F298" s="21">
        <v>46080</v>
      </c>
      <c r="G298" s="26" t="str">
        <v xml:space="preserve">Gabriela Quinde &lt;gquinde@kariout.com&gt; </v>
      </c>
      <c r="H298" s="24" t="str">
        <v/>
      </c>
      <c r="I298" s="2" t="str">
        <v/>
      </c>
      <c r="J298" s="19" t="str">
        <v/>
      </c>
      <c r="K298" t="b">
        <v>0</v>
      </c>
      <c r="L298" t="str">
        <v/>
      </c>
      <c r="M298" s="21" t="str">
        <v/>
      </c>
    </row>
    <row r="299" spans="1:13" x14ac:dyDescent="0.3">
      <c r="A299" s="7">
        <v>191471</v>
      </c>
      <c r="B299" t="str">
        <v>Logoplaste USA</v>
      </c>
      <c r="C299" s="2">
        <v>3461.38</v>
      </c>
      <c r="D299" s="21">
        <v>46056</v>
      </c>
      <c r="E299" t="str">
        <v>Reid Kincaid</v>
      </c>
      <c r="F299" s="21" t="str">
        <v/>
      </c>
      <c r="G299" s="26" t="str">
        <v/>
      </c>
      <c r="H299" s="24" t="str">
        <v/>
      </c>
      <c r="I299" s="2" t="str">
        <v/>
      </c>
      <c r="J299" s="19" t="str">
        <v>Won</v>
      </c>
      <c r="K299" t="b">
        <v>0</v>
      </c>
      <c r="L299" t="str">
        <v/>
      </c>
      <c r="M299" s="21" t="str">
        <v/>
      </c>
    </row>
    <row r="300" spans="1:13" x14ac:dyDescent="0.3">
      <c r="A300" s="7">
        <v>191710</v>
      </c>
      <c r="B300" t="str">
        <v>Niagara Bottling LLC</v>
      </c>
      <c r="C300" s="2">
        <v>4421</v>
      </c>
      <c r="D300" s="21">
        <v>46062</v>
      </c>
      <c r="E300" t="str">
        <v>Reid Kincaid</v>
      </c>
      <c r="F300" s="21" t="str">
        <v/>
      </c>
      <c r="G300" s="26" t="str">
        <v/>
      </c>
      <c r="H300" s="24" t="str">
        <v/>
      </c>
      <c r="I300" s="2" t="str">
        <v/>
      </c>
      <c r="J300" s="19" t="str">
        <v>Won</v>
      </c>
      <c r="K300" t="b">
        <v>0</v>
      </c>
      <c r="L300" t="str">
        <v/>
      </c>
      <c r="M300" s="21" t="str">
        <v/>
      </c>
    </row>
    <row r="301" spans="1:13" x14ac:dyDescent="0.3">
      <c r="A301" s="7">
        <v>191711</v>
      </c>
      <c r="B301" t="str">
        <v>Perdue Farms</v>
      </c>
      <c r="C301" s="2">
        <v>2007.6</v>
      </c>
      <c r="D301" s="21">
        <v>46062</v>
      </c>
      <c r="E301" t="str">
        <v>Reid Kincaid</v>
      </c>
      <c r="F301" s="21">
        <v>46080</v>
      </c>
      <c r="G301" s="26" t="str">
        <v>levary.little@perdue.com</v>
      </c>
      <c r="H301" s="24" t="str">
        <v/>
      </c>
      <c r="I301" s="2" t="str">
        <v/>
      </c>
      <c r="J301" s="19" t="str">
        <v/>
      </c>
      <c r="K301" t="b">
        <v>0</v>
      </c>
      <c r="L301" t="str">
        <v/>
      </c>
      <c r="M301" s="21" t="str">
        <v/>
      </c>
    </row>
    <row r="302" spans="1:13" x14ac:dyDescent="0.3">
      <c r="A302" s="7">
        <v>191502</v>
      </c>
      <c r="B302" t="str">
        <v>Tyson Foods, Inc. HQ</v>
      </c>
      <c r="C302" s="2">
        <v>3492.86</v>
      </c>
      <c r="D302" s="21">
        <v>46056</v>
      </c>
      <c r="E302" t="str">
        <v>Reid Kincaid</v>
      </c>
      <c r="F302" s="21" t="str">
        <v/>
      </c>
      <c r="G302" s="26" t="str">
        <v/>
      </c>
      <c r="H302" s="24" t="str">
        <v/>
      </c>
      <c r="I302" s="2" t="str">
        <v/>
      </c>
      <c r="J302" s="19" t="str">
        <v>Won</v>
      </c>
      <c r="K302" t="b">
        <v>0</v>
      </c>
      <c r="L302" t="str">
        <v/>
      </c>
      <c r="M302" s="21" t="str">
        <v/>
      </c>
    </row>
  </sheetData>
  <sheetProtection sort="0" autoFilter="0" pivotTables="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opLeftCell="F1" zoomScale="90" zoomScaleNormal="90" workbookViewId="0">
      <selection activeCell="L28" sqref="L28"/>
    </sheetView>
  </sheetViews>
  <sheetFormatPr defaultRowHeight="14.4" x14ac:dyDescent="0.3"/>
  <cols>
    <col min="1" max="1" width="16.33203125" bestFit="1" customWidth="1"/>
    <col min="2" max="2" width="37.88671875" bestFit="1" customWidth="1"/>
    <col min="3" max="3" width="16.109375" style="2" bestFit="1" customWidth="1"/>
    <col min="4" max="4" width="20" style="21" customWidth="1"/>
    <col min="5" max="5" width="16.44140625" bestFit="1" customWidth="1"/>
    <col min="6" max="6" width="18.6640625" style="21" bestFit="1" customWidth="1"/>
    <col min="7" max="7" width="19.44140625" customWidth="1"/>
    <col min="8" max="8" width="18.109375" style="6" customWidth="1"/>
    <col min="9" max="9" width="17.6640625" style="2" bestFit="1" customWidth="1"/>
    <col min="10" max="10" width="12.44140625" style="19" bestFit="1" customWidth="1"/>
    <col min="11" max="11" width="20.109375" customWidth="1"/>
    <col min="12" max="12" width="47.88671875" customWidth="1"/>
    <col min="13" max="13" width="27.6640625" style="26" bestFit="1" customWidth="1"/>
    <col min="14" max="14" width="9.109375" customWidth="1"/>
  </cols>
  <sheetData>
    <row r="1" spans="1:13" x14ac:dyDescent="0.3">
      <c r="A1" t="s">
        <v>0</v>
      </c>
      <c r="B1" t="s">
        <v>13</v>
      </c>
      <c r="C1" s="2" t="s">
        <v>2</v>
      </c>
      <c r="D1" s="21" t="s">
        <v>14</v>
      </c>
      <c r="E1" t="s">
        <v>4</v>
      </c>
      <c r="F1" s="21" t="s">
        <v>5</v>
      </c>
      <c r="G1" s="26" t="s">
        <v>6</v>
      </c>
      <c r="H1" s="6" t="s">
        <v>7</v>
      </c>
      <c r="I1" s="2" t="s">
        <v>8</v>
      </c>
      <c r="J1" s="19" t="s">
        <v>9</v>
      </c>
      <c r="K1" t="s">
        <v>15</v>
      </c>
      <c r="L1" t="s">
        <v>11</v>
      </c>
      <c r="M1" s="26" t="s">
        <v>12</v>
      </c>
    </row>
    <row r="2" spans="1:13" x14ac:dyDescent="0.3">
      <c r="A2">
        <v>190629</v>
      </c>
      <c r="B2" t="s">
        <v>16</v>
      </c>
      <c r="C2" s="15">
        <v>2462.1999999999998</v>
      </c>
      <c r="D2" s="21">
        <v>46031</v>
      </c>
      <c r="E2" t="s">
        <v>17</v>
      </c>
      <c r="F2" s="55" t="s">
        <v>18</v>
      </c>
      <c r="G2" s="55" t="s">
        <v>19</v>
      </c>
      <c r="H2" s="111" t="s">
        <v>20</v>
      </c>
      <c r="I2" s="112">
        <v>1846.65</v>
      </c>
      <c r="J2" s="55" t="s">
        <v>21</v>
      </c>
      <c r="K2" s="20" t="b">
        <v>0</v>
      </c>
      <c r="L2" s="55" t="s">
        <v>22</v>
      </c>
      <c r="M2" s="74"/>
    </row>
    <row r="3" spans="1:13" x14ac:dyDescent="0.3">
      <c r="A3">
        <v>190875</v>
      </c>
      <c r="B3" t="s">
        <v>23</v>
      </c>
      <c r="C3" s="15">
        <v>1684.68</v>
      </c>
      <c r="D3" s="21">
        <v>46038</v>
      </c>
      <c r="E3" t="s">
        <v>17</v>
      </c>
      <c r="F3" s="113">
        <v>46073</v>
      </c>
      <c r="G3" s="54" t="s">
        <v>24</v>
      </c>
      <c r="H3" s="114" t="s">
        <v>25</v>
      </c>
      <c r="I3" s="54" t="s">
        <v>26</v>
      </c>
      <c r="J3" s="54" t="s">
        <v>26</v>
      </c>
      <c r="K3" s="20" t="b">
        <v>0</v>
      </c>
      <c r="L3" s="54" t="s">
        <v>27</v>
      </c>
      <c r="M3" s="75" t="s">
        <v>26</v>
      </c>
    </row>
    <row r="4" spans="1:13" x14ac:dyDescent="0.3">
      <c r="A4">
        <v>190806</v>
      </c>
      <c r="B4" t="s">
        <v>28</v>
      </c>
      <c r="C4" s="15">
        <v>2106.2199999999998</v>
      </c>
      <c r="D4" s="21">
        <v>46037</v>
      </c>
      <c r="E4" t="s">
        <v>17</v>
      </c>
      <c r="F4" s="55" t="s">
        <v>18</v>
      </c>
      <c r="G4" s="55" t="s">
        <v>29</v>
      </c>
      <c r="H4" s="111" t="s">
        <v>30</v>
      </c>
      <c r="I4" s="115"/>
      <c r="J4" s="55" t="s">
        <v>26</v>
      </c>
      <c r="K4" s="20" t="b">
        <v>0</v>
      </c>
      <c r="L4" s="55" t="s">
        <v>31</v>
      </c>
      <c r="M4" s="74"/>
    </row>
    <row r="5" spans="1:13" x14ac:dyDescent="0.3">
      <c r="A5">
        <v>190418</v>
      </c>
      <c r="B5" t="s">
        <v>32</v>
      </c>
      <c r="C5" s="15">
        <v>1944.03</v>
      </c>
      <c r="D5" s="21">
        <v>46030</v>
      </c>
      <c r="E5" t="s">
        <v>17</v>
      </c>
      <c r="F5" s="54" t="s">
        <v>18</v>
      </c>
      <c r="G5" s="54" t="s">
        <v>33</v>
      </c>
      <c r="H5" s="114" t="s">
        <v>34</v>
      </c>
      <c r="I5" s="116">
        <v>1944.03</v>
      </c>
      <c r="J5" s="54" t="s">
        <v>21</v>
      </c>
      <c r="K5" s="20" t="b">
        <v>0</v>
      </c>
      <c r="L5" s="54" t="s">
        <v>35</v>
      </c>
      <c r="M5" s="75"/>
    </row>
    <row r="6" spans="1:13" x14ac:dyDescent="0.3">
      <c r="A6">
        <v>190844</v>
      </c>
      <c r="B6" t="s">
        <v>36</v>
      </c>
      <c r="C6" s="15">
        <v>13162.58</v>
      </c>
      <c r="D6" s="21">
        <v>46037</v>
      </c>
      <c r="E6" t="s">
        <v>17</v>
      </c>
      <c r="F6" s="55" t="s">
        <v>18</v>
      </c>
      <c r="G6" s="55" t="s">
        <v>37</v>
      </c>
      <c r="H6" s="111" t="s">
        <v>38</v>
      </c>
      <c r="I6" s="112">
        <v>13162.58</v>
      </c>
      <c r="J6" s="55" t="s">
        <v>21</v>
      </c>
      <c r="K6" s="20" t="b">
        <v>0</v>
      </c>
      <c r="L6" s="55" t="s">
        <v>39</v>
      </c>
      <c r="M6" s="74" t="s">
        <v>26</v>
      </c>
    </row>
    <row r="7" spans="1:13" x14ac:dyDescent="0.3">
      <c r="A7">
        <v>190839</v>
      </c>
      <c r="B7" t="s">
        <v>40</v>
      </c>
      <c r="C7" s="15">
        <v>2922.19</v>
      </c>
      <c r="D7" s="21">
        <v>46037</v>
      </c>
      <c r="E7" t="s">
        <v>17</v>
      </c>
      <c r="F7" s="113">
        <v>46077</v>
      </c>
      <c r="G7" s="54" t="s">
        <v>41</v>
      </c>
      <c r="H7" s="54" t="s">
        <v>42</v>
      </c>
      <c r="I7" s="54">
        <v>348</v>
      </c>
      <c r="J7" s="54" t="s">
        <v>21</v>
      </c>
      <c r="K7" s="20" t="b">
        <v>0</v>
      </c>
      <c r="L7" s="54" t="s">
        <v>43</v>
      </c>
      <c r="M7" s="75" t="s">
        <v>26</v>
      </c>
    </row>
    <row r="8" spans="1:13" x14ac:dyDescent="0.3">
      <c r="A8">
        <v>190830</v>
      </c>
      <c r="B8" t="s">
        <v>36</v>
      </c>
      <c r="C8" s="15">
        <v>4848.05</v>
      </c>
      <c r="D8" s="21">
        <v>46041</v>
      </c>
      <c r="E8" t="s">
        <v>44</v>
      </c>
      <c r="F8" s="55" t="s">
        <v>18</v>
      </c>
      <c r="G8" s="55" t="s">
        <v>37</v>
      </c>
      <c r="H8" s="111" t="s">
        <v>38</v>
      </c>
      <c r="I8" s="112">
        <v>4848.05</v>
      </c>
      <c r="J8" s="55" t="s">
        <v>21</v>
      </c>
      <c r="K8" s="20" t="b">
        <v>0</v>
      </c>
      <c r="L8" s="55" t="s">
        <v>45</v>
      </c>
      <c r="M8" s="55"/>
    </row>
    <row r="9" spans="1:13" x14ac:dyDescent="0.3">
      <c r="A9">
        <v>190826</v>
      </c>
      <c r="B9" t="s">
        <v>46</v>
      </c>
      <c r="C9" s="15">
        <v>2184</v>
      </c>
      <c r="D9" s="21">
        <v>46037</v>
      </c>
      <c r="E9" t="s">
        <v>44</v>
      </c>
      <c r="F9" s="113">
        <v>46080</v>
      </c>
      <c r="G9" s="54" t="s">
        <v>47</v>
      </c>
      <c r="H9" s="114" t="s">
        <v>48</v>
      </c>
      <c r="I9" s="54" t="s">
        <v>26</v>
      </c>
      <c r="J9" s="54" t="s">
        <v>26</v>
      </c>
      <c r="K9" s="20" t="b">
        <v>0</v>
      </c>
      <c r="L9" s="54" t="s">
        <v>27</v>
      </c>
      <c r="M9" s="54"/>
    </row>
    <row r="10" spans="1:13" x14ac:dyDescent="0.3">
      <c r="A10">
        <v>191759</v>
      </c>
      <c r="B10" t="s">
        <v>49</v>
      </c>
      <c r="C10" s="15">
        <v>1882.65</v>
      </c>
      <c r="E10" t="s">
        <v>17</v>
      </c>
      <c r="F10" s="117">
        <v>46077</v>
      </c>
      <c r="G10" s="55" t="s">
        <v>50</v>
      </c>
      <c r="H10" s="111" t="s">
        <v>51</v>
      </c>
      <c r="I10" s="55" t="s">
        <v>26</v>
      </c>
      <c r="J10" s="55" t="s">
        <v>26</v>
      </c>
      <c r="K10" s="20" t="b">
        <v>0</v>
      </c>
      <c r="L10" s="55" t="s">
        <v>52</v>
      </c>
      <c r="M10" s="74"/>
    </row>
    <row r="11" spans="1:13" x14ac:dyDescent="0.3">
      <c r="A11">
        <v>191539</v>
      </c>
      <c r="B11" t="s">
        <v>53</v>
      </c>
      <c r="C11" s="15">
        <v>6368</v>
      </c>
      <c r="D11" s="21">
        <v>46057</v>
      </c>
      <c r="E11" t="s">
        <v>17</v>
      </c>
      <c r="F11" s="54" t="s">
        <v>18</v>
      </c>
      <c r="G11" s="54" t="s">
        <v>54</v>
      </c>
      <c r="H11" s="114" t="s">
        <v>55</v>
      </c>
      <c r="I11" s="116">
        <v>6368</v>
      </c>
      <c r="J11" s="54" t="s">
        <v>21</v>
      </c>
      <c r="K11" s="20" t="b">
        <v>0</v>
      </c>
      <c r="L11" s="54" t="s">
        <v>56</v>
      </c>
      <c r="M11" s="75"/>
    </row>
    <row r="12" spans="1:13" x14ac:dyDescent="0.3">
      <c r="A12">
        <v>191623</v>
      </c>
      <c r="B12" t="s">
        <v>57</v>
      </c>
      <c r="C12" s="15">
        <v>3226.47</v>
      </c>
      <c r="D12" s="21">
        <v>46059</v>
      </c>
      <c r="E12" t="s">
        <v>17</v>
      </c>
      <c r="F12" s="117">
        <v>46077</v>
      </c>
      <c r="G12" s="55" t="s">
        <v>58</v>
      </c>
      <c r="H12" s="118" t="s">
        <v>59</v>
      </c>
      <c r="I12" s="118"/>
      <c r="J12" s="55" t="s">
        <v>26</v>
      </c>
      <c r="K12" s="20" t="b">
        <v>0</v>
      </c>
      <c r="L12" s="55" t="s">
        <v>27</v>
      </c>
      <c r="M12" s="74" t="s">
        <v>26</v>
      </c>
    </row>
    <row r="13" spans="1:13" x14ac:dyDescent="0.3">
      <c r="A13">
        <v>191639</v>
      </c>
      <c r="B13" t="s">
        <v>60</v>
      </c>
      <c r="C13" s="15">
        <v>5424</v>
      </c>
      <c r="E13" t="s">
        <v>17</v>
      </c>
      <c r="F13" s="54" t="s">
        <v>18</v>
      </c>
      <c r="G13" s="54" t="s">
        <v>61</v>
      </c>
      <c r="H13" s="114" t="s">
        <v>62</v>
      </c>
      <c r="I13" s="54" t="s">
        <v>26</v>
      </c>
      <c r="J13" s="54" t="s">
        <v>26</v>
      </c>
      <c r="K13" s="20" t="b">
        <v>0</v>
      </c>
      <c r="L13" s="54" t="s">
        <v>63</v>
      </c>
      <c r="M13" s="75" t="s">
        <v>26</v>
      </c>
    </row>
    <row r="14" spans="1:13" x14ac:dyDescent="0.3">
      <c r="A14">
        <v>191910</v>
      </c>
      <c r="B14" t="s">
        <v>64</v>
      </c>
      <c r="C14" s="15">
        <v>5653.73</v>
      </c>
      <c r="E14" t="s">
        <v>17</v>
      </c>
      <c r="F14" s="117">
        <v>46079</v>
      </c>
      <c r="G14" s="55" t="s">
        <v>65</v>
      </c>
      <c r="H14" s="111" t="s">
        <v>66</v>
      </c>
      <c r="I14" s="115"/>
      <c r="J14" s="55" t="s">
        <v>26</v>
      </c>
      <c r="K14" s="20" t="b">
        <v>0</v>
      </c>
      <c r="L14" s="55" t="s">
        <v>27</v>
      </c>
      <c r="M14" s="74" t="s">
        <v>26</v>
      </c>
    </row>
    <row r="15" spans="1:13" x14ac:dyDescent="0.3">
      <c r="A15">
        <v>191532</v>
      </c>
      <c r="B15" t="s">
        <v>67</v>
      </c>
      <c r="C15" s="15">
        <v>2085.4</v>
      </c>
      <c r="D15" s="21">
        <v>46057</v>
      </c>
      <c r="E15" t="s">
        <v>17</v>
      </c>
      <c r="F15" s="113">
        <v>46077</v>
      </c>
      <c r="G15" s="54" t="s">
        <v>68</v>
      </c>
      <c r="H15" s="114" t="s">
        <v>69</v>
      </c>
      <c r="I15" s="119"/>
      <c r="J15" s="54" t="s">
        <v>26</v>
      </c>
      <c r="K15" s="20" t="b">
        <v>0</v>
      </c>
      <c r="L15" s="54" t="s">
        <v>27</v>
      </c>
      <c r="M15" s="75" t="s">
        <v>26</v>
      </c>
    </row>
    <row r="16" spans="1:13" x14ac:dyDescent="0.3">
      <c r="A16">
        <v>191481</v>
      </c>
      <c r="B16" t="s">
        <v>70</v>
      </c>
      <c r="C16" s="15">
        <v>2778</v>
      </c>
      <c r="D16" s="21">
        <v>46057</v>
      </c>
      <c r="E16" t="s">
        <v>17</v>
      </c>
      <c r="F16" s="55" t="s">
        <v>18</v>
      </c>
      <c r="G16" s="55" t="s">
        <v>71</v>
      </c>
      <c r="H16" s="111" t="s">
        <v>72</v>
      </c>
      <c r="I16" s="112">
        <v>2778</v>
      </c>
      <c r="J16" s="55" t="s">
        <v>21</v>
      </c>
      <c r="K16" s="20" t="b">
        <v>0</v>
      </c>
      <c r="L16" s="55" t="s">
        <v>73</v>
      </c>
      <c r="M16"/>
    </row>
    <row r="17" spans="1:13" x14ac:dyDescent="0.3">
      <c r="A17">
        <v>191864</v>
      </c>
      <c r="B17" t="s">
        <v>74</v>
      </c>
      <c r="C17" s="15">
        <v>2370</v>
      </c>
      <c r="D17" s="21">
        <v>46065</v>
      </c>
      <c r="E17" t="s">
        <v>17</v>
      </c>
      <c r="F17" s="3">
        <v>46080</v>
      </c>
      <c r="G17" s="7" t="s">
        <v>75</v>
      </c>
      <c r="H17" s="69" t="s">
        <v>76</v>
      </c>
      <c r="I17" s="42"/>
      <c r="J17"/>
      <c r="K17" s="20" t="b">
        <v>0</v>
      </c>
      <c r="L17" t="s">
        <v>27</v>
      </c>
      <c r="M17"/>
    </row>
    <row r="18" spans="1:13" x14ac:dyDescent="0.3">
      <c r="A18" s="44"/>
      <c r="C18" s="15"/>
      <c r="F18"/>
      <c r="G18" s="26"/>
      <c r="H18"/>
      <c r="I18" s="42"/>
      <c r="J18"/>
      <c r="K18" s="20" t="b">
        <v>0</v>
      </c>
      <c r="M18"/>
    </row>
    <row r="21" spans="1:13" x14ac:dyDescent="0.3">
      <c r="B21" s="17" t="s">
        <v>77</v>
      </c>
      <c r="C21" s="2">
        <f>SUM(Tami[Quote Amount])</f>
        <v>61102.200000000004</v>
      </c>
    </row>
    <row r="22" spans="1:13" x14ac:dyDescent="0.3">
      <c r="H22" s="1"/>
    </row>
  </sheetData>
  <hyperlinks>
    <hyperlink ref="H2" r:id="rId1" xr:uid="{F372CB31-853B-45E3-933F-587720555E74}"/>
    <hyperlink ref="H3" r:id="rId2" xr:uid="{9B090DAB-6A5F-4499-932F-C7D1DDD078DA}"/>
    <hyperlink ref="H4" r:id="rId3" xr:uid="{94BF1672-0781-4357-9F42-E84A6D437108}"/>
    <hyperlink ref="H5" r:id="rId4" xr:uid="{D333C721-CB2A-47E0-9998-F167BD8B0912}"/>
    <hyperlink ref="H6" r:id="rId5" xr:uid="{FE8653FC-14F6-418F-96EF-0C934761014E}"/>
    <hyperlink ref="H8" r:id="rId6" xr:uid="{ADA4D449-4FB5-4DF1-87C1-5402D71E3CEF}"/>
    <hyperlink ref="H9" r:id="rId7" xr:uid="{35E56A5B-23D0-486B-B9B7-FBB5A21ADA71}"/>
    <hyperlink ref="H10" r:id="rId8" xr:uid="{DF028BC1-7A50-458C-9548-424BFEBE8B57}"/>
    <hyperlink ref="H11" r:id="rId9" xr:uid="{9919BD98-6CC6-4B8D-9A2A-DE514C1F50ED}"/>
    <hyperlink ref="H14" r:id="rId10" xr:uid="{1F65EEDC-E966-4EDC-9A1E-EF74CAEEA186}"/>
    <hyperlink ref="H15" r:id="rId11" xr:uid="{96D0CF0D-34CB-494A-8160-1790A8C4EB3A}"/>
    <hyperlink ref="H16" r:id="rId12" xr:uid="{0C3AEC5A-5C47-4017-A875-6BBB9C194789}"/>
    <hyperlink ref="H13" r:id="rId13" xr:uid="{A525E66F-DFF1-4AEB-8C6D-2816524F51AC}"/>
    <hyperlink ref="H17" r:id="rId14" xr:uid="{DF5AA67A-502F-4206-959F-C47F15C435D8}"/>
  </hyperlinks>
  <pageMargins left="0.75" right="0.75" top="1" bottom="1" header="0.5" footer="0.5"/>
  <tableParts count="1"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2"/>
  <sheetViews>
    <sheetView topLeftCell="A62" zoomScale="90" zoomScaleNormal="90" workbookViewId="0">
      <selection activeCell="L78" sqref="L78"/>
    </sheetView>
  </sheetViews>
  <sheetFormatPr defaultRowHeight="14.4" x14ac:dyDescent="0.3"/>
  <cols>
    <col min="1" max="1" width="16.33203125" bestFit="1" customWidth="1"/>
    <col min="2" max="2" width="35.5546875" bestFit="1" customWidth="1"/>
    <col min="3" max="3" width="16.109375" style="2" bestFit="1" customWidth="1"/>
    <col min="4" max="4" width="21.44140625" style="3" customWidth="1"/>
    <col min="5" max="5" width="13.6640625" bestFit="1" customWidth="1"/>
    <col min="6" max="6" width="18.6640625" style="21" bestFit="1" customWidth="1"/>
    <col min="7" max="7" width="34.88671875" bestFit="1" customWidth="1"/>
    <col min="8" max="8" width="18.33203125" style="6" bestFit="1" customWidth="1"/>
    <col min="9" max="9" width="17.6640625" style="2" bestFit="1" customWidth="1"/>
    <col min="10" max="10" width="12.44140625" bestFit="1" customWidth="1"/>
    <col min="11" max="11" width="20.88671875" bestFit="1" customWidth="1"/>
    <col min="12" max="12" width="73.5546875" customWidth="1"/>
    <col min="13" max="13" width="27.6640625" style="21" bestFit="1" customWidth="1"/>
  </cols>
  <sheetData>
    <row r="1" spans="1:13" x14ac:dyDescent="0.3">
      <c r="A1" t="s">
        <v>0</v>
      </c>
      <c r="B1" t="s">
        <v>13</v>
      </c>
      <c r="C1" s="2" t="s">
        <v>2</v>
      </c>
      <c r="D1" s="3" t="s">
        <v>14</v>
      </c>
      <c r="E1" t="s">
        <v>4</v>
      </c>
      <c r="F1" s="21" t="s">
        <v>5</v>
      </c>
      <c r="G1" s="26" t="s">
        <v>6</v>
      </c>
      <c r="H1" s="6" t="s">
        <v>7</v>
      </c>
      <c r="I1" s="2" t="s">
        <v>8</v>
      </c>
      <c r="J1" t="s">
        <v>9</v>
      </c>
      <c r="K1" t="s">
        <v>15</v>
      </c>
      <c r="L1" t="s">
        <v>11</v>
      </c>
      <c r="M1" s="21" t="s">
        <v>12</v>
      </c>
    </row>
    <row r="2" spans="1:13" x14ac:dyDescent="0.3">
      <c r="A2">
        <v>190412</v>
      </c>
      <c r="B2" t="s">
        <v>78</v>
      </c>
      <c r="C2" s="15">
        <v>9177</v>
      </c>
      <c r="D2" s="21">
        <v>46024</v>
      </c>
      <c r="E2" t="s">
        <v>79</v>
      </c>
      <c r="F2" s="21">
        <v>46069</v>
      </c>
      <c r="G2" s="26" t="s">
        <v>80</v>
      </c>
      <c r="H2" s="6" t="s">
        <v>80</v>
      </c>
      <c r="I2" s="43">
        <v>9177</v>
      </c>
      <c r="J2" t="s">
        <v>81</v>
      </c>
      <c r="K2" s="20" t="b">
        <v>1</v>
      </c>
      <c r="L2" t="s">
        <v>82</v>
      </c>
      <c r="M2" s="21">
        <v>46051</v>
      </c>
    </row>
    <row r="3" spans="1:13" x14ac:dyDescent="0.3">
      <c r="A3">
        <v>190460</v>
      </c>
      <c r="B3" t="s">
        <v>83</v>
      </c>
      <c r="C3" s="15">
        <v>16000</v>
      </c>
      <c r="D3" s="21">
        <v>46028</v>
      </c>
      <c r="E3" t="s">
        <v>79</v>
      </c>
      <c r="F3" s="21">
        <v>46069</v>
      </c>
      <c r="G3" s="26" t="s">
        <v>84</v>
      </c>
      <c r="I3" s="43"/>
      <c r="K3" s="20" t="b">
        <v>0</v>
      </c>
      <c r="L3" t="s">
        <v>85</v>
      </c>
      <c r="M3" s="21">
        <v>46051</v>
      </c>
    </row>
    <row r="4" spans="1:13" x14ac:dyDescent="0.3">
      <c r="A4">
        <v>190526</v>
      </c>
      <c r="B4" t="s">
        <v>86</v>
      </c>
      <c r="C4" s="15">
        <v>4143.2</v>
      </c>
      <c r="D4" s="21">
        <v>46029</v>
      </c>
      <c r="E4" t="s">
        <v>79</v>
      </c>
      <c r="F4" s="21">
        <v>46069</v>
      </c>
      <c r="G4" s="57" t="s">
        <v>87</v>
      </c>
      <c r="I4" s="43"/>
      <c r="K4" s="20" t="b">
        <v>0</v>
      </c>
      <c r="L4" t="s">
        <v>88</v>
      </c>
      <c r="M4" s="21">
        <v>46051</v>
      </c>
    </row>
    <row r="5" spans="1:13" ht="15.6" x14ac:dyDescent="0.3">
      <c r="A5">
        <v>190525</v>
      </c>
      <c r="B5" t="s">
        <v>89</v>
      </c>
      <c r="C5" s="15">
        <v>5572.88</v>
      </c>
      <c r="D5" s="21">
        <v>46029</v>
      </c>
      <c r="E5" t="s">
        <v>79</v>
      </c>
      <c r="F5" s="21">
        <v>46069</v>
      </c>
      <c r="G5" s="60" t="s">
        <v>90</v>
      </c>
      <c r="H5" s="56"/>
      <c r="I5" s="43">
        <v>1394</v>
      </c>
      <c r="J5" t="s">
        <v>81</v>
      </c>
      <c r="K5" s="20" t="b">
        <v>0</v>
      </c>
      <c r="L5" t="s">
        <v>91</v>
      </c>
      <c r="M5" s="21">
        <v>46051</v>
      </c>
    </row>
    <row r="6" spans="1:13" x14ac:dyDescent="0.3">
      <c r="A6">
        <v>190413</v>
      </c>
      <c r="B6" t="s">
        <v>78</v>
      </c>
      <c r="C6" s="15">
        <v>9800.68</v>
      </c>
      <c r="D6" s="21">
        <v>46029</v>
      </c>
      <c r="E6" t="s">
        <v>79</v>
      </c>
      <c r="F6" s="21">
        <v>46069</v>
      </c>
      <c r="G6" s="26" t="s">
        <v>80</v>
      </c>
      <c r="H6" s="6" t="s">
        <v>80</v>
      </c>
      <c r="I6" s="43">
        <v>9721</v>
      </c>
      <c r="J6" t="s">
        <v>81</v>
      </c>
      <c r="K6" s="20" t="b">
        <v>1</v>
      </c>
      <c r="L6" t="s">
        <v>92</v>
      </c>
      <c r="M6" s="21">
        <v>46051</v>
      </c>
    </row>
    <row r="7" spans="1:13" x14ac:dyDescent="0.3">
      <c r="A7">
        <v>190612</v>
      </c>
      <c r="B7" t="s">
        <v>28</v>
      </c>
      <c r="C7" s="15">
        <v>3839.2</v>
      </c>
      <c r="D7" s="21">
        <v>46031</v>
      </c>
      <c r="E7" t="s">
        <v>79</v>
      </c>
      <c r="F7" s="21">
        <v>46069</v>
      </c>
      <c r="G7" s="26"/>
      <c r="I7" s="43"/>
      <c r="K7" s="20" t="b">
        <v>0</v>
      </c>
      <c r="L7" t="s">
        <v>93</v>
      </c>
      <c r="M7" s="21">
        <v>46051</v>
      </c>
    </row>
    <row r="8" spans="1:13" x14ac:dyDescent="0.3">
      <c r="A8">
        <v>190594</v>
      </c>
      <c r="B8" t="s">
        <v>94</v>
      </c>
      <c r="C8" s="15">
        <v>8641.4599999999991</v>
      </c>
      <c r="D8" s="21">
        <v>46031</v>
      </c>
      <c r="E8" t="s">
        <v>79</v>
      </c>
      <c r="F8" s="21">
        <v>46069</v>
      </c>
      <c r="G8" s="52" t="s">
        <v>95</v>
      </c>
      <c r="I8" s="43"/>
      <c r="K8" s="20" t="b">
        <v>0</v>
      </c>
      <c r="L8" t="s">
        <v>96</v>
      </c>
      <c r="M8" s="21">
        <v>46051</v>
      </c>
    </row>
    <row r="9" spans="1:13" ht="15.6" x14ac:dyDescent="0.3">
      <c r="A9">
        <v>190677</v>
      </c>
      <c r="B9" t="s">
        <v>97</v>
      </c>
      <c r="C9" s="15">
        <v>2115</v>
      </c>
      <c r="D9" s="21">
        <v>46034</v>
      </c>
      <c r="E9" t="s">
        <v>79</v>
      </c>
      <c r="F9" s="21">
        <v>46069</v>
      </c>
      <c r="G9" s="52" t="s">
        <v>98</v>
      </c>
      <c r="H9" s="56"/>
      <c r="I9" s="43"/>
      <c r="K9" s="20" t="b">
        <v>0</v>
      </c>
      <c r="L9" t="s">
        <v>85</v>
      </c>
      <c r="M9" s="21">
        <v>46051</v>
      </c>
    </row>
    <row r="10" spans="1:13" x14ac:dyDescent="0.3">
      <c r="A10">
        <v>190680</v>
      </c>
      <c r="B10" t="s">
        <v>86</v>
      </c>
      <c r="C10" s="15">
        <v>5400</v>
      </c>
      <c r="D10" s="21">
        <v>46034</v>
      </c>
      <c r="E10" t="s">
        <v>79</v>
      </c>
      <c r="F10" s="21">
        <v>46069</v>
      </c>
      <c r="G10" s="62" t="s">
        <v>99</v>
      </c>
      <c r="I10" s="43"/>
      <c r="K10" s="20" t="b">
        <v>0</v>
      </c>
      <c r="L10" t="s">
        <v>85</v>
      </c>
      <c r="M10" s="21">
        <v>46052</v>
      </c>
    </row>
    <row r="11" spans="1:13" x14ac:dyDescent="0.3">
      <c r="A11">
        <v>190709</v>
      </c>
      <c r="B11" t="s">
        <v>97</v>
      </c>
      <c r="C11" s="15">
        <v>2698</v>
      </c>
      <c r="D11" s="21">
        <v>46035</v>
      </c>
      <c r="E11" t="s">
        <v>79</v>
      </c>
      <c r="F11" s="21">
        <v>46069</v>
      </c>
      <c r="G11" s="62" t="s">
        <v>100</v>
      </c>
      <c r="I11" s="43"/>
      <c r="K11" s="20" t="b">
        <v>0</v>
      </c>
      <c r="L11" t="s">
        <v>85</v>
      </c>
      <c r="M11" s="21">
        <v>46052</v>
      </c>
    </row>
    <row r="12" spans="1:13" x14ac:dyDescent="0.3">
      <c r="A12">
        <v>190701</v>
      </c>
      <c r="B12" t="s">
        <v>101</v>
      </c>
      <c r="C12" s="15">
        <v>12743.37</v>
      </c>
      <c r="D12" s="21">
        <v>46035</v>
      </c>
      <c r="E12" t="s">
        <v>79</v>
      </c>
      <c r="F12" s="21">
        <v>46069</v>
      </c>
      <c r="G12" s="62" t="s">
        <v>102</v>
      </c>
      <c r="I12" s="43"/>
      <c r="K12" s="20" t="b">
        <v>0</v>
      </c>
      <c r="L12" t="s">
        <v>103</v>
      </c>
      <c r="M12" s="21">
        <v>46052</v>
      </c>
    </row>
    <row r="13" spans="1:13" x14ac:dyDescent="0.3">
      <c r="A13">
        <v>190549</v>
      </c>
      <c r="B13" t="s">
        <v>104</v>
      </c>
      <c r="C13" s="15">
        <v>44413.08</v>
      </c>
      <c r="D13" s="21">
        <v>46035</v>
      </c>
      <c r="E13" t="s">
        <v>79</v>
      </c>
      <c r="F13" s="21">
        <v>46069</v>
      </c>
      <c r="G13" s="62" t="s">
        <v>105</v>
      </c>
      <c r="I13" s="43"/>
      <c r="K13" s="20" t="b">
        <v>0</v>
      </c>
      <c r="L13" t="s">
        <v>106</v>
      </c>
      <c r="M13" s="21">
        <v>46052</v>
      </c>
    </row>
    <row r="14" spans="1:13" x14ac:dyDescent="0.3">
      <c r="A14">
        <v>190759</v>
      </c>
      <c r="B14" t="s">
        <v>107</v>
      </c>
      <c r="C14" s="15">
        <v>2592.5500000000002</v>
      </c>
      <c r="D14" s="21">
        <v>46036</v>
      </c>
      <c r="E14" t="s">
        <v>79</v>
      </c>
      <c r="F14" s="21">
        <v>46069</v>
      </c>
      <c r="G14" s="62" t="s">
        <v>108</v>
      </c>
      <c r="I14" s="43">
        <v>2593</v>
      </c>
      <c r="J14" t="s">
        <v>81</v>
      </c>
      <c r="K14" s="20" t="b">
        <v>1</v>
      </c>
      <c r="L14" t="s">
        <v>109</v>
      </c>
      <c r="M14" s="21">
        <v>46052</v>
      </c>
    </row>
    <row r="15" spans="1:13" x14ac:dyDescent="0.3">
      <c r="A15">
        <v>191448</v>
      </c>
      <c r="B15" t="s">
        <v>110</v>
      </c>
      <c r="C15" s="15">
        <v>2988</v>
      </c>
      <c r="D15" s="21">
        <v>46055</v>
      </c>
      <c r="E15" t="s">
        <v>79</v>
      </c>
      <c r="F15" s="21">
        <v>46070</v>
      </c>
      <c r="G15" s="26"/>
      <c r="I15" s="43">
        <v>2988</v>
      </c>
      <c r="J15" t="s">
        <v>81</v>
      </c>
      <c r="K15" s="20" t="b">
        <v>0</v>
      </c>
      <c r="L15">
        <v>427650</v>
      </c>
    </row>
    <row r="16" spans="1:13" x14ac:dyDescent="0.3">
      <c r="A16">
        <v>191461</v>
      </c>
      <c r="B16" t="s">
        <v>111</v>
      </c>
      <c r="C16" s="15">
        <v>1529.88</v>
      </c>
      <c r="D16" s="21">
        <v>46055</v>
      </c>
      <c r="E16" t="s">
        <v>79</v>
      </c>
      <c r="F16" s="21">
        <v>46070</v>
      </c>
      <c r="G16" s="52"/>
      <c r="I16" s="43">
        <v>1530</v>
      </c>
      <c r="J16" t="s">
        <v>81</v>
      </c>
      <c r="K16" s="20" t="b">
        <v>0</v>
      </c>
      <c r="L16">
        <v>427623</v>
      </c>
    </row>
    <row r="17" spans="1:13" x14ac:dyDescent="0.3">
      <c r="A17">
        <v>191458</v>
      </c>
      <c r="B17" t="s">
        <v>112</v>
      </c>
      <c r="C17" s="15">
        <v>14262</v>
      </c>
      <c r="D17" s="21">
        <v>46055</v>
      </c>
      <c r="E17" t="s">
        <v>79</v>
      </c>
      <c r="F17" s="21">
        <v>46070</v>
      </c>
      <c r="G17" s="70" t="s">
        <v>113</v>
      </c>
      <c r="I17" s="43"/>
      <c r="K17" s="20" t="b">
        <v>0</v>
      </c>
      <c r="L17" t="s">
        <v>114</v>
      </c>
    </row>
    <row r="18" spans="1:13" x14ac:dyDescent="0.3">
      <c r="A18">
        <v>191449</v>
      </c>
      <c r="B18" t="s">
        <v>64</v>
      </c>
      <c r="C18" s="15">
        <v>2014</v>
      </c>
      <c r="D18" s="21">
        <v>46055</v>
      </c>
      <c r="E18" t="s">
        <v>79</v>
      </c>
      <c r="F18" s="21">
        <v>46070</v>
      </c>
      <c r="G18" s="52"/>
      <c r="I18" s="43">
        <v>2014</v>
      </c>
      <c r="J18" t="s">
        <v>81</v>
      </c>
      <c r="K18" s="20" t="b">
        <v>0</v>
      </c>
      <c r="L18">
        <v>427646</v>
      </c>
    </row>
    <row r="19" spans="1:13" x14ac:dyDescent="0.3">
      <c r="A19">
        <v>191464</v>
      </c>
      <c r="B19" t="s">
        <v>115</v>
      </c>
      <c r="C19" s="15">
        <v>1976.83</v>
      </c>
      <c r="D19" s="21">
        <v>46055</v>
      </c>
      <c r="E19" t="s">
        <v>79</v>
      </c>
      <c r="F19" s="21">
        <v>46070</v>
      </c>
      <c r="G19" s="52"/>
      <c r="I19" s="2">
        <v>1977</v>
      </c>
      <c r="J19" t="s">
        <v>81</v>
      </c>
      <c r="K19" s="20" t="b">
        <v>0</v>
      </c>
      <c r="L19">
        <v>427637</v>
      </c>
    </row>
    <row r="20" spans="1:13" x14ac:dyDescent="0.3">
      <c r="A20">
        <v>191448</v>
      </c>
      <c r="B20" t="s">
        <v>110</v>
      </c>
      <c r="C20" s="15">
        <v>2988</v>
      </c>
      <c r="D20" s="21">
        <v>46055</v>
      </c>
      <c r="E20" t="s">
        <v>79</v>
      </c>
      <c r="F20" s="76">
        <v>46079</v>
      </c>
      <c r="H20"/>
      <c r="I20">
        <v>2988</v>
      </c>
      <c r="J20" t="s">
        <v>81</v>
      </c>
      <c r="K20" s="20" t="b">
        <v>0</v>
      </c>
      <c r="L20">
        <v>427650</v>
      </c>
      <c r="M20"/>
    </row>
    <row r="21" spans="1:13" x14ac:dyDescent="0.3">
      <c r="A21">
        <v>191461</v>
      </c>
      <c r="B21" t="s">
        <v>111</v>
      </c>
      <c r="C21" s="15">
        <v>1529.88</v>
      </c>
      <c r="D21" s="21">
        <v>46055</v>
      </c>
      <c r="E21" t="s">
        <v>79</v>
      </c>
      <c r="F21" s="76">
        <v>46079</v>
      </c>
      <c r="H21"/>
      <c r="I21">
        <v>1630</v>
      </c>
      <c r="J21" t="s">
        <v>81</v>
      </c>
      <c r="K21" s="20" t="b">
        <v>0</v>
      </c>
      <c r="L21">
        <v>427623</v>
      </c>
      <c r="M21"/>
    </row>
    <row r="22" spans="1:13" x14ac:dyDescent="0.3">
      <c r="A22">
        <v>191458</v>
      </c>
      <c r="B22" t="s">
        <v>112</v>
      </c>
      <c r="C22" s="15">
        <v>14262</v>
      </c>
      <c r="D22" s="21">
        <v>46055</v>
      </c>
      <c r="E22" t="s">
        <v>79</v>
      </c>
      <c r="F22" s="76">
        <v>46079</v>
      </c>
      <c r="G22" s="69" t="s">
        <v>113</v>
      </c>
      <c r="H22"/>
      <c r="I22"/>
      <c r="K22" s="20" t="b">
        <v>0</v>
      </c>
      <c r="L22" t="s">
        <v>85</v>
      </c>
      <c r="M22"/>
    </row>
    <row r="23" spans="1:13" x14ac:dyDescent="0.3">
      <c r="A23">
        <v>191449</v>
      </c>
      <c r="B23" t="s">
        <v>64</v>
      </c>
      <c r="C23" s="15">
        <v>2014</v>
      </c>
      <c r="D23" s="21">
        <v>46055</v>
      </c>
      <c r="E23" t="s">
        <v>79</v>
      </c>
      <c r="F23" s="76">
        <v>46079</v>
      </c>
      <c r="H23"/>
      <c r="I23">
        <v>2014</v>
      </c>
      <c r="J23" t="s">
        <v>81</v>
      </c>
      <c r="K23" s="20" t="b">
        <v>0</v>
      </c>
      <c r="L23">
        <v>427646</v>
      </c>
      <c r="M23"/>
    </row>
    <row r="24" spans="1:13" x14ac:dyDescent="0.3">
      <c r="A24">
        <v>191464</v>
      </c>
      <c r="B24" t="s">
        <v>115</v>
      </c>
      <c r="C24" s="15">
        <v>1976.83</v>
      </c>
      <c r="D24" s="21">
        <v>46055</v>
      </c>
      <c r="E24" t="s">
        <v>79</v>
      </c>
      <c r="F24" s="76">
        <v>46079</v>
      </c>
      <c r="H24"/>
      <c r="I24">
        <v>1977</v>
      </c>
      <c r="J24" t="s">
        <v>81</v>
      </c>
      <c r="K24" s="20" t="b">
        <v>0</v>
      </c>
      <c r="L24">
        <v>427637</v>
      </c>
      <c r="M24"/>
    </row>
    <row r="25" spans="1:13" x14ac:dyDescent="0.3">
      <c r="A25">
        <v>191480</v>
      </c>
      <c r="B25" t="s">
        <v>60</v>
      </c>
      <c r="C25" s="15">
        <v>1639</v>
      </c>
      <c r="D25" s="21">
        <v>46056</v>
      </c>
      <c r="E25" t="s">
        <v>79</v>
      </c>
      <c r="F25" s="21">
        <v>46070</v>
      </c>
      <c r="G25" s="70" t="s">
        <v>116</v>
      </c>
      <c r="I25" s="43"/>
      <c r="K25" s="20" t="b">
        <v>0</v>
      </c>
      <c r="L25" t="s">
        <v>114</v>
      </c>
    </row>
    <row r="26" spans="1:13" x14ac:dyDescent="0.3">
      <c r="A26">
        <v>191490</v>
      </c>
      <c r="B26" t="s">
        <v>78</v>
      </c>
      <c r="C26" s="15">
        <v>2093</v>
      </c>
      <c r="D26" s="21">
        <v>46056</v>
      </c>
      <c r="E26" t="s">
        <v>79</v>
      </c>
      <c r="F26" s="21">
        <v>46070</v>
      </c>
      <c r="G26" s="26"/>
      <c r="I26" s="2">
        <v>2093</v>
      </c>
      <c r="J26" t="s">
        <v>81</v>
      </c>
      <c r="K26" s="20" t="b">
        <v>0</v>
      </c>
      <c r="L26">
        <v>427844</v>
      </c>
    </row>
    <row r="27" spans="1:13" x14ac:dyDescent="0.3">
      <c r="A27">
        <v>191480</v>
      </c>
      <c r="B27" t="s">
        <v>60</v>
      </c>
      <c r="C27" s="15">
        <v>1639</v>
      </c>
      <c r="D27" s="21">
        <v>46056</v>
      </c>
      <c r="E27" t="s">
        <v>79</v>
      </c>
      <c r="F27" s="76">
        <v>46079</v>
      </c>
      <c r="H27"/>
      <c r="I27"/>
      <c r="K27" s="20" t="b">
        <v>0</v>
      </c>
      <c r="L27" t="s">
        <v>117</v>
      </c>
      <c r="M27"/>
    </row>
    <row r="28" spans="1:13" x14ac:dyDescent="0.3">
      <c r="A28">
        <v>191490</v>
      </c>
      <c r="B28" t="s">
        <v>78</v>
      </c>
      <c r="C28" s="15">
        <v>2093</v>
      </c>
      <c r="D28" s="21">
        <v>46056</v>
      </c>
      <c r="E28" t="s">
        <v>79</v>
      </c>
      <c r="F28" s="76">
        <v>46079</v>
      </c>
      <c r="H28"/>
      <c r="I28">
        <v>2093</v>
      </c>
      <c r="J28" t="s">
        <v>81</v>
      </c>
      <c r="K28" s="20" t="b">
        <v>0</v>
      </c>
      <c r="L28">
        <v>427844</v>
      </c>
      <c r="M28"/>
    </row>
    <row r="29" spans="1:13" x14ac:dyDescent="0.3">
      <c r="A29">
        <v>191530</v>
      </c>
      <c r="B29" t="s">
        <v>78</v>
      </c>
      <c r="C29" s="15">
        <v>4901</v>
      </c>
      <c r="D29" s="21">
        <v>46057</v>
      </c>
      <c r="E29" t="s">
        <v>79</v>
      </c>
      <c r="F29" s="21">
        <v>46070</v>
      </c>
      <c r="G29" s="53"/>
      <c r="I29" s="2">
        <v>4901</v>
      </c>
      <c r="J29" t="s">
        <v>81</v>
      </c>
      <c r="K29" s="20" t="b">
        <v>0</v>
      </c>
      <c r="L29">
        <v>428163</v>
      </c>
    </row>
    <row r="30" spans="1:13" x14ac:dyDescent="0.3">
      <c r="A30">
        <v>191530</v>
      </c>
      <c r="B30" t="s">
        <v>78</v>
      </c>
      <c r="C30" s="15">
        <v>4901</v>
      </c>
      <c r="D30" s="21">
        <v>46057</v>
      </c>
      <c r="E30" t="s">
        <v>79</v>
      </c>
      <c r="F30" s="76">
        <v>46079</v>
      </c>
      <c r="H30"/>
      <c r="I30">
        <v>4901</v>
      </c>
      <c r="J30" t="s">
        <v>81</v>
      </c>
      <c r="K30" s="20" t="b">
        <v>0</v>
      </c>
      <c r="L30">
        <v>428163</v>
      </c>
      <c r="M30"/>
    </row>
    <row r="31" spans="1:13" x14ac:dyDescent="0.3">
      <c r="A31">
        <v>191524</v>
      </c>
      <c r="B31" t="s">
        <v>118</v>
      </c>
      <c r="C31" s="15">
        <v>42812</v>
      </c>
      <c r="D31" s="21">
        <v>46058</v>
      </c>
      <c r="E31" t="s">
        <v>79</v>
      </c>
      <c r="F31" s="21">
        <v>46070</v>
      </c>
      <c r="G31" s="62" t="s">
        <v>119</v>
      </c>
      <c r="I31" s="43"/>
      <c r="K31" s="20" t="b">
        <v>0</v>
      </c>
      <c r="L31" t="s">
        <v>114</v>
      </c>
    </row>
    <row r="32" spans="1:13" x14ac:dyDescent="0.3">
      <c r="A32">
        <v>191561</v>
      </c>
      <c r="B32" t="s">
        <v>57</v>
      </c>
      <c r="C32" s="15">
        <v>2286</v>
      </c>
      <c r="D32" s="21">
        <v>46058</v>
      </c>
      <c r="E32" t="s">
        <v>79</v>
      </c>
      <c r="F32" s="21">
        <v>46070</v>
      </c>
      <c r="G32" s="62" t="s">
        <v>120</v>
      </c>
      <c r="I32" s="43"/>
      <c r="K32" s="20" t="b">
        <v>0</v>
      </c>
      <c r="L32" t="s">
        <v>114</v>
      </c>
    </row>
    <row r="33" spans="1:13" x14ac:dyDescent="0.3">
      <c r="A33">
        <v>191514</v>
      </c>
      <c r="B33" t="s">
        <v>121</v>
      </c>
      <c r="C33" s="15">
        <v>28825.23</v>
      </c>
      <c r="D33" s="21">
        <v>46058</v>
      </c>
      <c r="E33" t="s">
        <v>79</v>
      </c>
      <c r="F33" s="21">
        <v>46070</v>
      </c>
      <c r="G33" s="62" t="s">
        <v>122</v>
      </c>
      <c r="I33" s="43"/>
      <c r="K33" s="20" t="b">
        <v>0</v>
      </c>
      <c r="L33" t="s">
        <v>114</v>
      </c>
    </row>
    <row r="34" spans="1:13" x14ac:dyDescent="0.3">
      <c r="A34">
        <v>191584</v>
      </c>
      <c r="B34" t="s">
        <v>121</v>
      </c>
      <c r="C34" s="15">
        <v>2211.56</v>
      </c>
      <c r="D34" s="21">
        <v>46058</v>
      </c>
      <c r="E34" t="s">
        <v>79</v>
      </c>
      <c r="F34" s="21">
        <v>46070</v>
      </c>
      <c r="G34" s="26"/>
      <c r="I34" s="43">
        <v>2212</v>
      </c>
      <c r="J34" t="s">
        <v>81</v>
      </c>
      <c r="K34" s="20" t="b">
        <v>0</v>
      </c>
      <c r="L34">
        <v>427864</v>
      </c>
    </row>
    <row r="35" spans="1:13" x14ac:dyDescent="0.3">
      <c r="A35">
        <v>191590</v>
      </c>
      <c r="B35" t="s">
        <v>123</v>
      </c>
      <c r="C35" s="15">
        <v>1820</v>
      </c>
      <c r="D35" s="21">
        <v>46058</v>
      </c>
      <c r="E35" t="s">
        <v>79</v>
      </c>
      <c r="F35" s="21">
        <v>46070</v>
      </c>
      <c r="G35" s="26"/>
      <c r="I35" s="2">
        <v>647</v>
      </c>
      <c r="J35" t="s">
        <v>81</v>
      </c>
      <c r="K35" s="20" t="b">
        <v>0</v>
      </c>
      <c r="L35">
        <v>427891</v>
      </c>
    </row>
    <row r="36" spans="1:13" x14ac:dyDescent="0.3">
      <c r="A36">
        <v>191573</v>
      </c>
      <c r="B36" t="s">
        <v>78</v>
      </c>
      <c r="C36" s="15">
        <v>2716</v>
      </c>
      <c r="D36" s="21">
        <v>46058</v>
      </c>
      <c r="E36" t="s">
        <v>79</v>
      </c>
      <c r="F36" s="21">
        <v>46070</v>
      </c>
      <c r="G36" s="26"/>
      <c r="I36" s="2">
        <v>2716</v>
      </c>
      <c r="J36" t="s">
        <v>81</v>
      </c>
      <c r="K36" s="20" t="b">
        <v>0</v>
      </c>
      <c r="L36">
        <v>427818</v>
      </c>
    </row>
    <row r="37" spans="1:13" x14ac:dyDescent="0.3">
      <c r="A37">
        <v>191524</v>
      </c>
      <c r="B37" t="s">
        <v>118</v>
      </c>
      <c r="C37" s="15">
        <v>42812</v>
      </c>
      <c r="D37" s="21">
        <v>46058</v>
      </c>
      <c r="E37" t="s">
        <v>79</v>
      </c>
      <c r="F37" s="76">
        <v>46079</v>
      </c>
      <c r="H37"/>
      <c r="I37"/>
      <c r="K37" s="20" t="b">
        <v>0</v>
      </c>
      <c r="L37" t="s">
        <v>117</v>
      </c>
      <c r="M37"/>
    </row>
    <row r="38" spans="1:13" x14ac:dyDescent="0.3">
      <c r="A38">
        <v>191561</v>
      </c>
      <c r="B38" t="s">
        <v>57</v>
      </c>
      <c r="C38" s="15">
        <v>2286</v>
      </c>
      <c r="D38" s="21">
        <v>46058</v>
      </c>
      <c r="E38" t="s">
        <v>79</v>
      </c>
      <c r="F38" s="76">
        <v>46079</v>
      </c>
      <c r="H38"/>
      <c r="I38">
        <v>2491</v>
      </c>
      <c r="J38" t="s">
        <v>81</v>
      </c>
      <c r="K38" s="20" t="b">
        <v>0</v>
      </c>
      <c r="L38">
        <v>428688</v>
      </c>
      <c r="M38"/>
    </row>
    <row r="39" spans="1:13" x14ac:dyDescent="0.3">
      <c r="A39">
        <v>191514</v>
      </c>
      <c r="B39" t="s">
        <v>121</v>
      </c>
      <c r="C39" s="15">
        <v>28825.23</v>
      </c>
      <c r="D39" s="21">
        <v>46058</v>
      </c>
      <c r="E39" t="s">
        <v>79</v>
      </c>
      <c r="F39" s="76">
        <v>46079</v>
      </c>
      <c r="H39"/>
      <c r="I39"/>
      <c r="K39" s="20" t="b">
        <v>0</v>
      </c>
      <c r="L39" t="s">
        <v>85</v>
      </c>
      <c r="M39"/>
    </row>
    <row r="40" spans="1:13" x14ac:dyDescent="0.3">
      <c r="A40">
        <v>191584</v>
      </c>
      <c r="B40" t="s">
        <v>121</v>
      </c>
      <c r="C40" s="15">
        <v>2211.56</v>
      </c>
      <c r="D40" s="21">
        <v>46058</v>
      </c>
      <c r="E40" t="s">
        <v>79</v>
      </c>
      <c r="F40" s="76">
        <v>46079</v>
      </c>
      <c r="H40"/>
      <c r="I40">
        <v>2212</v>
      </c>
      <c r="J40" t="s">
        <v>81</v>
      </c>
      <c r="K40" s="20" t="b">
        <v>1</v>
      </c>
      <c r="L40">
        <v>427864</v>
      </c>
      <c r="M40"/>
    </row>
    <row r="41" spans="1:13" x14ac:dyDescent="0.3">
      <c r="A41">
        <v>191590</v>
      </c>
      <c r="B41" t="s">
        <v>123</v>
      </c>
      <c r="C41" s="15">
        <v>1820</v>
      </c>
      <c r="D41" s="21">
        <v>46058</v>
      </c>
      <c r="E41" t="s">
        <v>79</v>
      </c>
      <c r="F41" s="76">
        <v>46079</v>
      </c>
      <c r="H41"/>
      <c r="I41">
        <v>647</v>
      </c>
      <c r="J41" t="s">
        <v>81</v>
      </c>
      <c r="K41" s="20" t="b">
        <v>0</v>
      </c>
      <c r="L41">
        <v>427891</v>
      </c>
      <c r="M41"/>
    </row>
    <row r="42" spans="1:13" x14ac:dyDescent="0.3">
      <c r="A42">
        <v>191573</v>
      </c>
      <c r="B42" t="s">
        <v>78</v>
      </c>
      <c r="C42" s="15">
        <v>2716</v>
      </c>
      <c r="D42" s="21">
        <v>46058</v>
      </c>
      <c r="E42" t="s">
        <v>79</v>
      </c>
      <c r="F42" s="76">
        <v>46079</v>
      </c>
      <c r="H42"/>
      <c r="I42">
        <v>2716</v>
      </c>
      <c r="J42" t="s">
        <v>81</v>
      </c>
      <c r="K42" s="20" t="b">
        <v>0</v>
      </c>
      <c r="L42">
        <v>427818</v>
      </c>
      <c r="M42"/>
    </row>
    <row r="43" spans="1:13" x14ac:dyDescent="0.3">
      <c r="A43">
        <v>191653</v>
      </c>
      <c r="B43" t="s">
        <v>124</v>
      </c>
      <c r="C43" s="15">
        <v>97635</v>
      </c>
      <c r="D43" s="21">
        <v>46059</v>
      </c>
      <c r="E43" t="s">
        <v>79</v>
      </c>
      <c r="F43" s="21">
        <v>46070</v>
      </c>
      <c r="G43" s="62" t="s">
        <v>125</v>
      </c>
      <c r="I43" s="43"/>
      <c r="K43" s="20" t="b">
        <v>0</v>
      </c>
      <c r="L43" t="s">
        <v>114</v>
      </c>
    </row>
    <row r="44" spans="1:13" x14ac:dyDescent="0.3">
      <c r="A44">
        <v>191635</v>
      </c>
      <c r="B44" t="s">
        <v>126</v>
      </c>
      <c r="C44" s="15">
        <v>6254</v>
      </c>
      <c r="D44" s="21">
        <v>46059</v>
      </c>
      <c r="E44" t="s">
        <v>79</v>
      </c>
      <c r="F44" s="21">
        <v>46070</v>
      </c>
      <c r="G44" s="62" t="s">
        <v>127</v>
      </c>
      <c r="I44" s="43"/>
      <c r="K44" s="20" t="b">
        <v>0</v>
      </c>
      <c r="L44" t="s">
        <v>114</v>
      </c>
    </row>
    <row r="45" spans="1:13" x14ac:dyDescent="0.3">
      <c r="A45">
        <v>191609</v>
      </c>
      <c r="B45" t="s">
        <v>128</v>
      </c>
      <c r="C45" s="15">
        <v>2168.36</v>
      </c>
      <c r="D45" s="21">
        <v>46059</v>
      </c>
      <c r="E45" t="s">
        <v>79</v>
      </c>
      <c r="F45" s="21">
        <v>46072</v>
      </c>
      <c r="G45" s="62" t="s">
        <v>129</v>
      </c>
      <c r="I45" s="43"/>
      <c r="K45" s="20" t="b">
        <v>0</v>
      </c>
      <c r="L45" t="s">
        <v>114</v>
      </c>
    </row>
    <row r="46" spans="1:13" x14ac:dyDescent="0.3">
      <c r="A46">
        <v>191653</v>
      </c>
      <c r="B46" t="s">
        <v>124</v>
      </c>
      <c r="C46" s="15">
        <v>97635</v>
      </c>
      <c r="D46" s="21">
        <v>46059</v>
      </c>
      <c r="E46" t="s">
        <v>79</v>
      </c>
      <c r="F46" s="76">
        <v>46079</v>
      </c>
      <c r="H46"/>
      <c r="I46"/>
      <c r="K46" s="20" t="b">
        <v>0</v>
      </c>
      <c r="L46" t="s">
        <v>130</v>
      </c>
      <c r="M46"/>
    </row>
    <row r="47" spans="1:13" x14ac:dyDescent="0.3">
      <c r="A47">
        <v>191635</v>
      </c>
      <c r="B47" t="s">
        <v>126</v>
      </c>
      <c r="C47" s="15">
        <v>6254</v>
      </c>
      <c r="D47" s="21">
        <v>46059</v>
      </c>
      <c r="E47" t="s">
        <v>79</v>
      </c>
      <c r="F47" s="76">
        <v>46079</v>
      </c>
      <c r="H47"/>
      <c r="I47"/>
      <c r="K47" s="20" t="b">
        <v>0</v>
      </c>
      <c r="L47" t="s">
        <v>131</v>
      </c>
      <c r="M47"/>
    </row>
    <row r="48" spans="1:13" x14ac:dyDescent="0.3">
      <c r="A48">
        <v>191609</v>
      </c>
      <c r="B48" t="s">
        <v>128</v>
      </c>
      <c r="C48" s="15">
        <v>2168.36</v>
      </c>
      <c r="D48" s="21">
        <v>46059</v>
      </c>
      <c r="E48" t="s">
        <v>79</v>
      </c>
      <c r="F48" s="76">
        <v>46079</v>
      </c>
      <c r="H48"/>
      <c r="I48"/>
      <c r="K48" s="20" t="b">
        <v>0</v>
      </c>
      <c r="L48" t="s">
        <v>85</v>
      </c>
      <c r="M48"/>
    </row>
    <row r="49" spans="1:13" x14ac:dyDescent="0.3">
      <c r="A49">
        <v>191724</v>
      </c>
      <c r="B49" t="s">
        <v>132</v>
      </c>
      <c r="C49" s="15">
        <v>1729.91</v>
      </c>
      <c r="D49" s="21">
        <v>46063</v>
      </c>
      <c r="E49" t="s">
        <v>79</v>
      </c>
      <c r="F49" s="21">
        <v>46072</v>
      </c>
      <c r="G49" s="62" t="s">
        <v>133</v>
      </c>
      <c r="I49" s="43"/>
      <c r="K49" s="20" t="b">
        <v>0</v>
      </c>
      <c r="L49" t="s">
        <v>114</v>
      </c>
    </row>
    <row r="50" spans="1:13" x14ac:dyDescent="0.3">
      <c r="A50">
        <v>191735</v>
      </c>
      <c r="B50" t="s">
        <v>134</v>
      </c>
      <c r="C50" s="15">
        <v>3320.24</v>
      </c>
      <c r="D50" s="21">
        <v>46063</v>
      </c>
      <c r="E50" t="s">
        <v>79</v>
      </c>
      <c r="F50" s="21">
        <v>46072</v>
      </c>
      <c r="G50" s="62" t="s">
        <v>135</v>
      </c>
      <c r="I50" s="43"/>
      <c r="K50" s="20" t="b">
        <v>0</v>
      </c>
      <c r="L50" t="s">
        <v>114</v>
      </c>
    </row>
    <row r="51" spans="1:13" x14ac:dyDescent="0.3">
      <c r="A51">
        <v>191607</v>
      </c>
      <c r="B51" t="s">
        <v>60</v>
      </c>
      <c r="C51" s="15">
        <v>2130.92</v>
      </c>
      <c r="D51" s="21">
        <v>46063</v>
      </c>
      <c r="E51" t="s">
        <v>79</v>
      </c>
      <c r="F51" s="21">
        <v>46072</v>
      </c>
      <c r="G51" s="53"/>
      <c r="I51" s="43">
        <v>2131</v>
      </c>
      <c r="J51" t="s">
        <v>81</v>
      </c>
      <c r="K51" s="20" t="b">
        <v>0</v>
      </c>
      <c r="L51">
        <v>518733</v>
      </c>
    </row>
    <row r="52" spans="1:13" x14ac:dyDescent="0.3">
      <c r="A52">
        <v>191618</v>
      </c>
      <c r="B52" t="s">
        <v>36</v>
      </c>
      <c r="C52" s="15">
        <v>8494.89</v>
      </c>
      <c r="D52" s="21">
        <v>46063</v>
      </c>
      <c r="E52" t="s">
        <v>79</v>
      </c>
      <c r="F52" s="21">
        <v>46072</v>
      </c>
      <c r="G52" s="52"/>
      <c r="I52" s="2">
        <v>8495</v>
      </c>
      <c r="J52" t="s">
        <v>81</v>
      </c>
      <c r="K52" s="20" t="b">
        <v>0</v>
      </c>
      <c r="L52">
        <v>428064</v>
      </c>
    </row>
    <row r="53" spans="1:13" x14ac:dyDescent="0.3">
      <c r="A53">
        <v>191721</v>
      </c>
      <c r="B53" t="s">
        <v>78</v>
      </c>
      <c r="C53" s="15">
        <v>4054</v>
      </c>
      <c r="D53" s="21">
        <v>46063</v>
      </c>
      <c r="E53" t="s">
        <v>79</v>
      </c>
      <c r="F53" s="21">
        <v>46072</v>
      </c>
      <c r="G53" s="71" t="s">
        <v>136</v>
      </c>
      <c r="K53" s="20" t="b">
        <v>0</v>
      </c>
      <c r="L53" t="s">
        <v>114</v>
      </c>
    </row>
    <row r="54" spans="1:13" x14ac:dyDescent="0.3">
      <c r="A54">
        <v>191719</v>
      </c>
      <c r="B54" t="s">
        <v>137</v>
      </c>
      <c r="C54" s="15">
        <v>1840</v>
      </c>
      <c r="D54" s="21">
        <v>46063</v>
      </c>
      <c r="E54" t="s">
        <v>79</v>
      </c>
      <c r="F54" s="21">
        <v>46072</v>
      </c>
      <c r="G54" s="71" t="s">
        <v>138</v>
      </c>
      <c r="K54" s="20" t="b">
        <v>0</v>
      </c>
      <c r="L54" t="s">
        <v>114</v>
      </c>
    </row>
    <row r="55" spans="1:13" x14ac:dyDescent="0.3">
      <c r="A55">
        <v>191724</v>
      </c>
      <c r="B55" t="s">
        <v>132</v>
      </c>
      <c r="C55" s="15">
        <v>1729.91</v>
      </c>
      <c r="D55" s="21">
        <v>46063</v>
      </c>
      <c r="E55" t="s">
        <v>79</v>
      </c>
      <c r="F55" s="76">
        <v>46079</v>
      </c>
      <c r="H55"/>
      <c r="I55"/>
      <c r="K55" s="20" t="b">
        <v>0</v>
      </c>
      <c r="L55" t="s">
        <v>139</v>
      </c>
      <c r="M55"/>
    </row>
    <row r="56" spans="1:13" x14ac:dyDescent="0.3">
      <c r="A56">
        <v>191735</v>
      </c>
      <c r="B56" t="s">
        <v>134</v>
      </c>
      <c r="C56" s="15">
        <v>3320.24</v>
      </c>
      <c r="D56" s="21">
        <v>46063</v>
      </c>
      <c r="E56" t="s">
        <v>79</v>
      </c>
      <c r="F56" s="76">
        <v>46079</v>
      </c>
      <c r="H56"/>
      <c r="I56">
        <v>3321</v>
      </c>
      <c r="J56" t="s">
        <v>81</v>
      </c>
      <c r="K56" s="20" t="b">
        <v>1</v>
      </c>
      <c r="L56">
        <v>428780</v>
      </c>
      <c r="M56"/>
    </row>
    <row r="57" spans="1:13" x14ac:dyDescent="0.3">
      <c r="A57">
        <v>191607</v>
      </c>
      <c r="B57" t="s">
        <v>60</v>
      </c>
      <c r="C57" s="15">
        <v>2130.92</v>
      </c>
      <c r="D57" s="21">
        <v>46063</v>
      </c>
      <c r="E57" t="s">
        <v>79</v>
      </c>
      <c r="F57" s="76">
        <v>46079</v>
      </c>
      <c r="H57"/>
      <c r="I57">
        <v>2131</v>
      </c>
      <c r="J57" t="s">
        <v>81</v>
      </c>
      <c r="K57" s="20" t="b">
        <v>0</v>
      </c>
      <c r="L57">
        <v>428079</v>
      </c>
      <c r="M57"/>
    </row>
    <row r="58" spans="1:13" x14ac:dyDescent="0.3">
      <c r="A58">
        <v>191618</v>
      </c>
      <c r="B58" t="s">
        <v>36</v>
      </c>
      <c r="C58" s="15">
        <v>8494.89</v>
      </c>
      <c r="D58" s="21">
        <v>46063</v>
      </c>
      <c r="E58" t="s">
        <v>79</v>
      </c>
      <c r="F58" s="76">
        <v>46079</v>
      </c>
      <c r="H58"/>
      <c r="I58">
        <v>8495</v>
      </c>
      <c r="J58" t="s">
        <v>81</v>
      </c>
      <c r="K58" s="20" t="b">
        <v>0</v>
      </c>
      <c r="L58">
        <v>428064</v>
      </c>
      <c r="M58"/>
    </row>
    <row r="59" spans="1:13" x14ac:dyDescent="0.3">
      <c r="A59">
        <v>191721</v>
      </c>
      <c r="B59" t="s">
        <v>78</v>
      </c>
      <c r="C59" s="15">
        <v>4054</v>
      </c>
      <c r="D59" s="21">
        <v>46063</v>
      </c>
      <c r="E59" t="s">
        <v>79</v>
      </c>
      <c r="F59" s="76">
        <v>46079</v>
      </c>
      <c r="G59" s="62" t="s">
        <v>136</v>
      </c>
      <c r="H59"/>
      <c r="I59"/>
      <c r="K59" s="20" t="b">
        <v>0</v>
      </c>
      <c r="L59" t="s">
        <v>114</v>
      </c>
      <c r="M59"/>
    </row>
    <row r="60" spans="1:13" x14ac:dyDescent="0.3">
      <c r="A60">
        <v>191719</v>
      </c>
      <c r="B60" t="s">
        <v>137</v>
      </c>
      <c r="C60" s="15">
        <v>1840</v>
      </c>
      <c r="D60" s="21">
        <v>46063</v>
      </c>
      <c r="E60" t="s">
        <v>79</v>
      </c>
      <c r="F60" s="76">
        <v>46079</v>
      </c>
      <c r="H60"/>
      <c r="I60">
        <v>1840</v>
      </c>
      <c r="J60" t="s">
        <v>81</v>
      </c>
      <c r="K60" s="20" t="b">
        <v>0</v>
      </c>
      <c r="L60">
        <v>428141</v>
      </c>
      <c r="M60"/>
    </row>
    <row r="61" spans="1:13" x14ac:dyDescent="0.3">
      <c r="A61">
        <v>191775</v>
      </c>
      <c r="B61" t="s">
        <v>86</v>
      </c>
      <c r="C61" s="15">
        <v>7191.86</v>
      </c>
      <c r="D61" s="21">
        <v>46064</v>
      </c>
      <c r="E61" t="s">
        <v>79</v>
      </c>
      <c r="F61" s="21">
        <v>46072</v>
      </c>
      <c r="G61" s="71" t="s">
        <v>140</v>
      </c>
      <c r="I61" s="43"/>
      <c r="K61" s="20" t="b">
        <v>0</v>
      </c>
      <c r="L61" t="s">
        <v>114</v>
      </c>
    </row>
    <row r="62" spans="1:13" x14ac:dyDescent="0.3">
      <c r="A62">
        <v>191770</v>
      </c>
      <c r="B62" t="s">
        <v>86</v>
      </c>
      <c r="C62" s="15">
        <v>4584.3599999999997</v>
      </c>
      <c r="D62" s="21">
        <v>46064</v>
      </c>
      <c r="E62" t="s">
        <v>79</v>
      </c>
      <c r="F62" s="21">
        <v>46072</v>
      </c>
      <c r="G62" s="71" t="s">
        <v>141</v>
      </c>
      <c r="I62" s="43"/>
      <c r="K62" s="20" t="b">
        <v>0</v>
      </c>
      <c r="L62" t="s">
        <v>114</v>
      </c>
    </row>
    <row r="63" spans="1:13" x14ac:dyDescent="0.3">
      <c r="A63">
        <v>191778</v>
      </c>
      <c r="B63" t="s">
        <v>32</v>
      </c>
      <c r="C63" s="15">
        <v>1989.4</v>
      </c>
      <c r="D63" s="21">
        <v>46064</v>
      </c>
      <c r="E63" t="s">
        <v>79</v>
      </c>
      <c r="F63" s="21">
        <v>46072</v>
      </c>
      <c r="G63" s="71" t="s">
        <v>142</v>
      </c>
      <c r="I63" s="43"/>
      <c r="K63" s="20" t="b">
        <v>0</v>
      </c>
      <c r="L63" t="s">
        <v>114</v>
      </c>
    </row>
    <row r="64" spans="1:13" x14ac:dyDescent="0.3">
      <c r="A64">
        <v>191775</v>
      </c>
      <c r="B64" t="s">
        <v>86</v>
      </c>
      <c r="C64" s="15">
        <v>7191.86</v>
      </c>
      <c r="D64" s="21">
        <v>46064</v>
      </c>
      <c r="E64" t="s">
        <v>79</v>
      </c>
      <c r="F64" s="76">
        <v>46079</v>
      </c>
      <c r="G64" s="62" t="s">
        <v>140</v>
      </c>
      <c r="H64"/>
      <c r="I64"/>
      <c r="K64" s="20" t="b">
        <v>0</v>
      </c>
      <c r="L64" t="s">
        <v>85</v>
      </c>
      <c r="M64"/>
    </row>
    <row r="65" spans="1:13" x14ac:dyDescent="0.3">
      <c r="A65">
        <v>191770</v>
      </c>
      <c r="B65" t="s">
        <v>86</v>
      </c>
      <c r="C65" s="15">
        <v>4584.3599999999997</v>
      </c>
      <c r="D65" s="21">
        <v>46064</v>
      </c>
      <c r="E65" t="s">
        <v>79</v>
      </c>
      <c r="F65" s="76">
        <v>46079</v>
      </c>
      <c r="H65"/>
      <c r="I65"/>
      <c r="K65" s="20" t="b">
        <v>0</v>
      </c>
      <c r="L65" t="s">
        <v>114</v>
      </c>
      <c r="M65"/>
    </row>
    <row r="66" spans="1:13" x14ac:dyDescent="0.3">
      <c r="A66">
        <v>191778</v>
      </c>
      <c r="B66" t="s">
        <v>32</v>
      </c>
      <c r="C66" s="15">
        <v>1989.4</v>
      </c>
      <c r="D66" s="21">
        <v>46064</v>
      </c>
      <c r="E66" t="s">
        <v>79</v>
      </c>
      <c r="F66" s="76">
        <v>46079</v>
      </c>
      <c r="H66"/>
      <c r="I66"/>
      <c r="K66" s="20" t="b">
        <v>0</v>
      </c>
      <c r="L66" t="s">
        <v>143</v>
      </c>
      <c r="M66"/>
    </row>
    <row r="67" spans="1:13" x14ac:dyDescent="0.3">
      <c r="A67">
        <v>191878</v>
      </c>
      <c r="B67" t="s">
        <v>144</v>
      </c>
      <c r="C67" s="15">
        <v>3960.18</v>
      </c>
      <c r="D67" s="21">
        <v>46066</v>
      </c>
      <c r="E67" t="s">
        <v>79</v>
      </c>
      <c r="F67" s="21">
        <v>46073</v>
      </c>
      <c r="G67" s="26"/>
      <c r="I67" s="43">
        <v>3961</v>
      </c>
      <c r="J67" t="s">
        <v>81</v>
      </c>
      <c r="K67" s="20" t="b">
        <v>0</v>
      </c>
      <c r="L67">
        <v>428292</v>
      </c>
    </row>
    <row r="68" spans="1:13" x14ac:dyDescent="0.3">
      <c r="A68">
        <v>191873</v>
      </c>
      <c r="B68" t="s">
        <v>145</v>
      </c>
      <c r="C68" s="15">
        <v>3750</v>
      </c>
      <c r="D68" s="21">
        <v>46066</v>
      </c>
      <c r="E68" t="s">
        <v>79</v>
      </c>
      <c r="F68" s="21">
        <v>46073</v>
      </c>
      <c r="G68" s="52"/>
      <c r="I68" s="2">
        <v>3750</v>
      </c>
      <c r="J68" t="s">
        <v>81</v>
      </c>
      <c r="K68" s="20" t="b">
        <v>0</v>
      </c>
      <c r="L68">
        <v>428224</v>
      </c>
    </row>
    <row r="69" spans="1:13" x14ac:dyDescent="0.3">
      <c r="A69">
        <v>191876</v>
      </c>
      <c r="B69" t="s">
        <v>146</v>
      </c>
      <c r="C69" s="15">
        <v>5390</v>
      </c>
      <c r="D69" s="21">
        <v>46066</v>
      </c>
      <c r="E69" t="s">
        <v>79</v>
      </c>
      <c r="F69" s="21">
        <v>46073</v>
      </c>
      <c r="G69" s="26"/>
      <c r="I69" s="2">
        <v>4772</v>
      </c>
      <c r="J69" t="s">
        <v>81</v>
      </c>
      <c r="K69" s="20" t="b">
        <v>0</v>
      </c>
      <c r="L69">
        <v>428349</v>
      </c>
    </row>
    <row r="70" spans="1:13" x14ac:dyDescent="0.3">
      <c r="A70">
        <v>191816</v>
      </c>
      <c r="B70" t="s">
        <v>147</v>
      </c>
      <c r="C70" s="15">
        <v>2735</v>
      </c>
      <c r="D70" s="21">
        <v>46066</v>
      </c>
      <c r="E70" t="s">
        <v>79</v>
      </c>
      <c r="F70" s="21">
        <v>46073</v>
      </c>
      <c r="G70" s="26"/>
      <c r="I70" s="2">
        <v>2735</v>
      </c>
      <c r="J70" t="s">
        <v>81</v>
      </c>
      <c r="K70" s="20" t="b">
        <v>0</v>
      </c>
      <c r="L70">
        <v>428264</v>
      </c>
    </row>
    <row r="71" spans="1:13" x14ac:dyDescent="0.3">
      <c r="A71">
        <v>191899</v>
      </c>
      <c r="B71" t="s">
        <v>148</v>
      </c>
      <c r="C71" s="15">
        <v>8132.55</v>
      </c>
      <c r="D71" s="21">
        <v>46066</v>
      </c>
      <c r="E71" t="s">
        <v>79</v>
      </c>
      <c r="F71" s="21">
        <v>46073</v>
      </c>
      <c r="G71" s="62" t="s">
        <v>149</v>
      </c>
      <c r="K71" s="20" t="b">
        <v>0</v>
      </c>
      <c r="L71" t="s">
        <v>114</v>
      </c>
    </row>
    <row r="72" spans="1:13" x14ac:dyDescent="0.3">
      <c r="A72">
        <v>191878</v>
      </c>
      <c r="B72" t="s">
        <v>144</v>
      </c>
      <c r="C72" s="15">
        <v>3960.18</v>
      </c>
      <c r="D72" s="21">
        <v>46066</v>
      </c>
      <c r="E72" t="s">
        <v>79</v>
      </c>
      <c r="F72" s="76">
        <v>46079</v>
      </c>
      <c r="H72"/>
      <c r="I72">
        <v>3961</v>
      </c>
      <c r="J72" t="s">
        <v>81</v>
      </c>
      <c r="K72" s="20" t="b">
        <v>0</v>
      </c>
      <c r="L72">
        <v>428292</v>
      </c>
      <c r="M72"/>
    </row>
    <row r="73" spans="1:13" x14ac:dyDescent="0.3">
      <c r="A73">
        <v>191873</v>
      </c>
      <c r="B73" t="s">
        <v>145</v>
      </c>
      <c r="C73" s="15">
        <v>3750</v>
      </c>
      <c r="D73" s="21">
        <v>46066</v>
      </c>
      <c r="E73" t="s">
        <v>79</v>
      </c>
      <c r="F73" s="76">
        <v>46079</v>
      </c>
      <c r="H73"/>
      <c r="I73">
        <v>3750</v>
      </c>
      <c r="J73" t="s">
        <v>81</v>
      </c>
      <c r="K73" s="20" t="b">
        <v>0</v>
      </c>
      <c r="L73">
        <v>428224</v>
      </c>
      <c r="M73"/>
    </row>
    <row r="74" spans="1:13" x14ac:dyDescent="0.3">
      <c r="A74">
        <v>191876</v>
      </c>
      <c r="B74" t="s">
        <v>146</v>
      </c>
      <c r="C74" s="15">
        <v>5390</v>
      </c>
      <c r="D74" s="21">
        <v>46066</v>
      </c>
      <c r="E74" t="s">
        <v>79</v>
      </c>
      <c r="F74" s="76">
        <v>46079</v>
      </c>
      <c r="H74"/>
      <c r="I74">
        <v>4772</v>
      </c>
      <c r="J74" t="s">
        <v>81</v>
      </c>
      <c r="K74" s="20" t="b">
        <v>0</v>
      </c>
      <c r="L74">
        <v>428349</v>
      </c>
      <c r="M74"/>
    </row>
    <row r="75" spans="1:13" x14ac:dyDescent="0.3">
      <c r="A75">
        <v>191816</v>
      </c>
      <c r="B75" t="s">
        <v>147</v>
      </c>
      <c r="C75" s="15">
        <v>2735</v>
      </c>
      <c r="D75" s="21">
        <v>46066</v>
      </c>
      <c r="E75" t="s">
        <v>79</v>
      </c>
      <c r="F75" s="76">
        <v>46079</v>
      </c>
      <c r="H75"/>
      <c r="I75">
        <v>2735</v>
      </c>
      <c r="J75" t="s">
        <v>81</v>
      </c>
      <c r="K75" s="20" t="b">
        <v>0</v>
      </c>
      <c r="L75">
        <v>428264</v>
      </c>
      <c r="M75"/>
    </row>
    <row r="76" spans="1:13" x14ac:dyDescent="0.3">
      <c r="A76">
        <v>191899</v>
      </c>
      <c r="B76" t="s">
        <v>148</v>
      </c>
      <c r="C76" s="15">
        <v>8132.55</v>
      </c>
      <c r="D76" s="21">
        <v>46066</v>
      </c>
      <c r="E76" t="s">
        <v>79</v>
      </c>
      <c r="F76" s="76">
        <v>46079</v>
      </c>
      <c r="G76" s="62" t="s">
        <v>149</v>
      </c>
      <c r="H76"/>
      <c r="I76"/>
      <c r="K76" s="20" t="b">
        <v>0</v>
      </c>
      <c r="L76" t="s">
        <v>85</v>
      </c>
      <c r="M76"/>
    </row>
    <row r="77" spans="1:13" x14ac:dyDescent="0.3">
      <c r="A77">
        <v>191455</v>
      </c>
      <c r="B77" t="s">
        <v>132</v>
      </c>
      <c r="C77" s="15">
        <v>8612.44</v>
      </c>
      <c r="D77" s="21"/>
      <c r="E77" t="s">
        <v>79</v>
      </c>
      <c r="F77" s="21">
        <v>46073</v>
      </c>
      <c r="G77" s="26"/>
      <c r="I77" s="43"/>
      <c r="K77" s="20" t="b">
        <v>0</v>
      </c>
    </row>
    <row r="78" spans="1:13" x14ac:dyDescent="0.3">
      <c r="A78">
        <v>191455</v>
      </c>
      <c r="B78" t="s">
        <v>132</v>
      </c>
      <c r="C78" s="15">
        <v>8612.44</v>
      </c>
      <c r="D78" s="21">
        <v>46055</v>
      </c>
      <c r="E78" t="s">
        <v>79</v>
      </c>
      <c r="F78" s="76">
        <v>46079</v>
      </c>
      <c r="G78" s="69" t="s">
        <v>150</v>
      </c>
      <c r="H78"/>
      <c r="I78"/>
      <c r="K78" s="20" t="b">
        <v>0</v>
      </c>
      <c r="L78" t="s">
        <v>114</v>
      </c>
      <c r="M78"/>
    </row>
    <row r="79" spans="1:13" x14ac:dyDescent="0.3">
      <c r="C79" s="1"/>
      <c r="D79" s="21"/>
      <c r="G79" s="52"/>
      <c r="K79" s="20" t="b">
        <v>0</v>
      </c>
    </row>
    <row r="82" spans="2:3" x14ac:dyDescent="0.3">
      <c r="B82" s="16" t="s">
        <v>77</v>
      </c>
      <c r="C82" s="2">
        <f>SUM(Brent[Quote Amount])</f>
        <v>699231.64000000013</v>
      </c>
    </row>
  </sheetData>
  <hyperlinks>
    <hyperlink ref="G25" r:id="rId1" display="'Diedra.Henderson@pilgrims.com'" xr:uid="{F8E12903-6B1F-46B5-8105-5BE9D9C7CEB9}"/>
    <hyperlink ref="G17" r:id="rId2" xr:uid="{E22FD2E0-BB68-43D4-B1C5-EB6F8BFCECE1}"/>
    <hyperlink ref="G22" r:id="rId3" xr:uid="{1D1AB750-C3DE-4262-A28C-4114E99EB16F}"/>
    <hyperlink ref="G78" r:id="rId4" xr:uid="{FC266677-AF70-40D2-A706-DB599FE63A1B}"/>
  </hyperlinks>
  <pageMargins left="0.75" right="0.75" top="1" bottom="1" header="0.5" footer="0.5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1"/>
  <sheetViews>
    <sheetView topLeftCell="B22" zoomScale="90" zoomScaleNormal="90" workbookViewId="0">
      <selection activeCell="K43" sqref="K43"/>
    </sheetView>
  </sheetViews>
  <sheetFormatPr defaultRowHeight="14.4" x14ac:dyDescent="0.3"/>
  <cols>
    <col min="1" max="2" width="20.44140625" customWidth="1"/>
    <col min="3" max="3" width="20.44140625" style="1" customWidth="1"/>
    <col min="4" max="4" width="29.109375" style="21" bestFit="1" customWidth="1"/>
    <col min="5" max="5" width="20.44140625" customWidth="1"/>
    <col min="6" max="6" width="20.44140625" style="3" customWidth="1"/>
    <col min="7" max="7" width="20.44140625" customWidth="1"/>
    <col min="8" max="8" width="20.44140625" style="6" customWidth="1"/>
    <col min="9" max="9" width="20.44140625" style="2" customWidth="1"/>
    <col min="10" max="10" width="20.44140625" style="19" customWidth="1"/>
    <col min="11" max="11" width="20.44140625" style="31" customWidth="1"/>
    <col min="12" max="12" width="50.44140625" bestFit="1" customWidth="1"/>
    <col min="13" max="13" width="27.6640625" style="26" bestFit="1" customWidth="1"/>
  </cols>
  <sheetData>
    <row r="1" spans="1:13" x14ac:dyDescent="0.3">
      <c r="A1" t="s">
        <v>0</v>
      </c>
      <c r="B1" s="26" t="s">
        <v>13</v>
      </c>
      <c r="C1" s="58" t="s">
        <v>2</v>
      </c>
      <c r="D1" s="21" t="s">
        <v>14</v>
      </c>
      <c r="E1" s="26" t="s">
        <v>4</v>
      </c>
      <c r="F1" s="21" t="s">
        <v>5</v>
      </c>
      <c r="G1" s="26" t="s">
        <v>6</v>
      </c>
      <c r="H1" s="24" t="s">
        <v>7</v>
      </c>
      <c r="I1" s="49" t="s">
        <v>8</v>
      </c>
      <c r="J1" s="50" t="s">
        <v>9</v>
      </c>
      <c r="K1" s="51" t="s">
        <v>15</v>
      </c>
      <c r="L1" t="s">
        <v>11</v>
      </c>
      <c r="M1" s="26" t="s">
        <v>12</v>
      </c>
    </row>
    <row r="2" spans="1:13" x14ac:dyDescent="0.3">
      <c r="A2">
        <v>191722</v>
      </c>
      <c r="B2" t="s">
        <v>151</v>
      </c>
      <c r="C2" s="15">
        <v>5957.55</v>
      </c>
      <c r="D2" s="21">
        <v>46063</v>
      </c>
      <c r="E2" t="s">
        <v>152</v>
      </c>
      <c r="F2" s="3">
        <v>46069</v>
      </c>
      <c r="G2" t="s">
        <v>153</v>
      </c>
      <c r="H2"/>
      <c r="I2" s="61">
        <v>5957.55</v>
      </c>
      <c r="J2" t="s">
        <v>21</v>
      </c>
      <c r="K2" s="32" t="b">
        <v>0</v>
      </c>
      <c r="L2" t="s">
        <v>154</v>
      </c>
      <c r="M2"/>
    </row>
    <row r="3" spans="1:13" x14ac:dyDescent="0.3">
      <c r="A3">
        <v>191747</v>
      </c>
      <c r="B3" t="s">
        <v>155</v>
      </c>
      <c r="C3" s="15">
        <v>2976.89</v>
      </c>
      <c r="D3" s="21">
        <v>46065</v>
      </c>
      <c r="E3" t="s">
        <v>152</v>
      </c>
      <c r="F3" s="3">
        <v>46069</v>
      </c>
      <c r="H3"/>
      <c r="I3" s="29">
        <v>2976.89</v>
      </c>
      <c r="J3" t="s">
        <v>21</v>
      </c>
      <c r="K3" s="32" t="b">
        <v>0</v>
      </c>
      <c r="L3" t="s">
        <v>156</v>
      </c>
      <c r="M3"/>
    </row>
    <row r="4" spans="1:13" x14ac:dyDescent="0.3">
      <c r="A4">
        <v>191892</v>
      </c>
      <c r="B4" t="s">
        <v>155</v>
      </c>
      <c r="C4" s="15">
        <v>2675.38</v>
      </c>
      <c r="D4" s="21">
        <v>46066</v>
      </c>
      <c r="E4" t="s">
        <v>152</v>
      </c>
      <c r="F4" s="3">
        <v>46069</v>
      </c>
      <c r="G4" s="69" t="s">
        <v>157</v>
      </c>
      <c r="H4"/>
      <c r="I4" s="61"/>
      <c r="J4"/>
      <c r="K4" s="32" t="b">
        <v>0</v>
      </c>
      <c r="L4" t="s">
        <v>158</v>
      </c>
      <c r="M4"/>
    </row>
    <row r="5" spans="1:13" x14ac:dyDescent="0.3">
      <c r="A5">
        <v>191457</v>
      </c>
      <c r="B5" t="s">
        <v>110</v>
      </c>
      <c r="C5" s="15">
        <v>5422.38</v>
      </c>
      <c r="D5" s="21">
        <v>46055</v>
      </c>
      <c r="E5" t="s">
        <v>152</v>
      </c>
      <c r="F5" s="3">
        <v>46069</v>
      </c>
      <c r="G5" s="69" t="s">
        <v>159</v>
      </c>
      <c r="H5" t="s">
        <v>160</v>
      </c>
      <c r="I5" s="61">
        <v>5422.38</v>
      </c>
      <c r="J5" t="s">
        <v>21</v>
      </c>
      <c r="K5" s="32" t="b">
        <v>0</v>
      </c>
      <c r="L5" t="s">
        <v>161</v>
      </c>
      <c r="M5"/>
    </row>
    <row r="6" spans="1:13" x14ac:dyDescent="0.3">
      <c r="A6">
        <v>191877</v>
      </c>
      <c r="B6" t="s">
        <v>162</v>
      </c>
      <c r="C6" s="15">
        <v>1788</v>
      </c>
      <c r="D6" s="21">
        <v>46066</v>
      </c>
      <c r="E6" t="s">
        <v>152</v>
      </c>
      <c r="F6" s="3">
        <v>46070</v>
      </c>
      <c r="G6" t="s">
        <v>163</v>
      </c>
      <c r="H6"/>
      <c r="I6" s="61">
        <v>1788</v>
      </c>
      <c r="J6" t="s">
        <v>21</v>
      </c>
      <c r="K6" s="32" t="b">
        <v>0</v>
      </c>
      <c r="L6" t="s">
        <v>164</v>
      </c>
      <c r="M6"/>
    </row>
    <row r="7" spans="1:13" x14ac:dyDescent="0.3">
      <c r="A7">
        <v>191880</v>
      </c>
      <c r="B7" t="s">
        <v>165</v>
      </c>
      <c r="C7" s="15">
        <v>3862.94</v>
      </c>
      <c r="D7" s="21">
        <v>46066</v>
      </c>
      <c r="E7" t="s">
        <v>152</v>
      </c>
      <c r="F7" s="3">
        <v>46070</v>
      </c>
      <c r="G7" t="s">
        <v>166</v>
      </c>
      <c r="H7"/>
      <c r="I7"/>
      <c r="J7"/>
      <c r="K7" s="32" t="b">
        <v>0</v>
      </c>
      <c r="L7" t="s">
        <v>158</v>
      </c>
      <c r="M7"/>
    </row>
    <row r="8" spans="1:13" x14ac:dyDescent="0.3">
      <c r="A8">
        <v>191881</v>
      </c>
      <c r="B8" t="s">
        <v>165</v>
      </c>
      <c r="C8" s="15">
        <v>2365.5</v>
      </c>
      <c r="D8" s="21">
        <v>46066</v>
      </c>
      <c r="E8" t="s">
        <v>152</v>
      </c>
      <c r="F8" s="3">
        <v>46070</v>
      </c>
      <c r="G8" t="s">
        <v>166</v>
      </c>
      <c r="H8"/>
      <c r="I8" s="61"/>
      <c r="J8"/>
      <c r="K8" s="32" t="b">
        <v>0</v>
      </c>
      <c r="L8" t="s">
        <v>158</v>
      </c>
      <c r="M8"/>
    </row>
    <row r="9" spans="1:13" x14ac:dyDescent="0.3">
      <c r="A9">
        <v>191459</v>
      </c>
      <c r="B9" t="s">
        <v>167</v>
      </c>
      <c r="C9" s="15">
        <v>6508.2</v>
      </c>
      <c r="D9" s="21">
        <v>46055</v>
      </c>
      <c r="E9" t="s">
        <v>152</v>
      </c>
      <c r="F9" s="3">
        <v>46070</v>
      </c>
      <c r="G9" t="s">
        <v>168</v>
      </c>
      <c r="H9"/>
      <c r="I9" s="61">
        <v>6508.2</v>
      </c>
      <c r="J9" t="s">
        <v>21</v>
      </c>
      <c r="K9" s="32" t="b">
        <v>0</v>
      </c>
      <c r="L9" t="s">
        <v>169</v>
      </c>
      <c r="M9"/>
    </row>
    <row r="10" spans="1:13" x14ac:dyDescent="0.3">
      <c r="A10">
        <v>191828</v>
      </c>
      <c r="B10" t="s">
        <v>170</v>
      </c>
      <c r="C10" s="15">
        <v>2667.14</v>
      </c>
      <c r="D10" s="21">
        <v>46066</v>
      </c>
      <c r="E10" t="s">
        <v>152</v>
      </c>
      <c r="F10" s="3">
        <v>46070</v>
      </c>
      <c r="G10" t="s">
        <v>171</v>
      </c>
      <c r="H10"/>
      <c r="I10" s="61">
        <v>2667.14</v>
      </c>
      <c r="J10" t="s">
        <v>21</v>
      </c>
      <c r="K10" s="32" t="b">
        <v>0</v>
      </c>
      <c r="L10" t="s">
        <v>172</v>
      </c>
      <c r="M10"/>
    </row>
    <row r="11" spans="1:13" x14ac:dyDescent="0.3">
      <c r="A11">
        <v>191751</v>
      </c>
      <c r="B11" t="s">
        <v>173</v>
      </c>
      <c r="C11" s="15">
        <v>4299.68</v>
      </c>
      <c r="D11" s="21">
        <v>46065</v>
      </c>
      <c r="E11" t="s">
        <v>152</v>
      </c>
      <c r="F11" s="3">
        <v>46076</v>
      </c>
      <c r="G11" t="s">
        <v>174</v>
      </c>
      <c r="H11"/>
      <c r="I11" s="61">
        <v>4299.68</v>
      </c>
      <c r="J11" t="s">
        <v>21</v>
      </c>
      <c r="K11" s="32" t="b">
        <v>0</v>
      </c>
      <c r="L11" t="s">
        <v>175</v>
      </c>
      <c r="M11"/>
    </row>
    <row r="12" spans="1:13" x14ac:dyDescent="0.3">
      <c r="A12">
        <v>191817</v>
      </c>
      <c r="B12" t="s">
        <v>176</v>
      </c>
      <c r="C12" s="15">
        <v>17508.439999999999</v>
      </c>
      <c r="D12" s="21">
        <v>46064</v>
      </c>
      <c r="E12" t="s">
        <v>152</v>
      </c>
      <c r="F12" s="3">
        <v>46076</v>
      </c>
      <c r="G12" t="s">
        <v>177</v>
      </c>
      <c r="H12"/>
      <c r="I12"/>
      <c r="J12" t="s">
        <v>178</v>
      </c>
      <c r="K12" s="32" t="b">
        <v>0</v>
      </c>
      <c r="L12" t="s">
        <v>179</v>
      </c>
      <c r="M12"/>
    </row>
    <row r="13" spans="1:13" x14ac:dyDescent="0.3">
      <c r="A13">
        <v>191785</v>
      </c>
      <c r="B13" t="s">
        <v>134</v>
      </c>
      <c r="C13" s="15">
        <v>1512</v>
      </c>
      <c r="D13" s="21">
        <v>46065</v>
      </c>
      <c r="E13" t="s">
        <v>152</v>
      </c>
      <c r="F13" s="3">
        <v>46076</v>
      </c>
      <c r="G13" t="s">
        <v>180</v>
      </c>
      <c r="H13"/>
      <c r="I13" s="61">
        <v>1512</v>
      </c>
      <c r="J13" t="s">
        <v>21</v>
      </c>
      <c r="K13" s="32" t="b">
        <v>0</v>
      </c>
      <c r="L13" t="s">
        <v>181</v>
      </c>
      <c r="M13"/>
    </row>
    <row r="14" spans="1:13" x14ac:dyDescent="0.3">
      <c r="A14">
        <v>191840</v>
      </c>
      <c r="B14" t="s">
        <v>182</v>
      </c>
      <c r="C14" s="15">
        <v>4912.84</v>
      </c>
      <c r="D14" s="21">
        <v>46065</v>
      </c>
      <c r="E14" t="s">
        <v>152</v>
      </c>
      <c r="F14" s="3">
        <v>46076</v>
      </c>
      <c r="H14"/>
      <c r="I14" s="61">
        <v>4912.84</v>
      </c>
      <c r="J14" t="s">
        <v>21</v>
      </c>
      <c r="K14" s="32" t="b">
        <v>0</v>
      </c>
      <c r="L14" t="s">
        <v>183</v>
      </c>
      <c r="M14"/>
    </row>
    <row r="15" spans="1:13" x14ac:dyDescent="0.3">
      <c r="A15">
        <v>191789</v>
      </c>
      <c r="B15" t="s">
        <v>184</v>
      </c>
      <c r="C15" s="15">
        <v>2256</v>
      </c>
      <c r="D15" s="21">
        <v>46066</v>
      </c>
      <c r="E15" t="s">
        <v>152</v>
      </c>
      <c r="F15" s="3">
        <v>46076</v>
      </c>
      <c r="G15" t="s">
        <v>185</v>
      </c>
      <c r="H15"/>
      <c r="I15" s="61">
        <v>2256</v>
      </c>
      <c r="J15" t="s">
        <v>21</v>
      </c>
      <c r="K15" s="32" t="b">
        <v>0</v>
      </c>
      <c r="L15" t="s">
        <v>186</v>
      </c>
      <c r="M15"/>
    </row>
    <row r="16" spans="1:13" x14ac:dyDescent="0.3">
      <c r="A16">
        <v>191733</v>
      </c>
      <c r="B16" t="s">
        <v>187</v>
      </c>
      <c r="C16" s="15">
        <v>1847</v>
      </c>
      <c r="E16" t="s">
        <v>152</v>
      </c>
      <c r="F16" s="3">
        <v>46076</v>
      </c>
      <c r="H16"/>
      <c r="I16"/>
      <c r="J16" t="s">
        <v>178</v>
      </c>
      <c r="K16" s="32" t="b">
        <v>0</v>
      </c>
      <c r="L16" t="s">
        <v>188</v>
      </c>
      <c r="M16"/>
    </row>
    <row r="17" spans="1:13" x14ac:dyDescent="0.3">
      <c r="A17">
        <v>191777</v>
      </c>
      <c r="B17" t="s">
        <v>146</v>
      </c>
      <c r="C17" s="15">
        <v>4553.38</v>
      </c>
      <c r="D17" s="21">
        <v>46065</v>
      </c>
      <c r="E17" t="s">
        <v>152</v>
      </c>
      <c r="F17" s="3">
        <v>46076</v>
      </c>
      <c r="G17" t="s">
        <v>189</v>
      </c>
      <c r="H17"/>
      <c r="I17" s="61">
        <v>4553.38</v>
      </c>
      <c r="J17" t="s">
        <v>21</v>
      </c>
      <c r="K17" s="32" t="b">
        <v>0</v>
      </c>
      <c r="L17" t="s">
        <v>190</v>
      </c>
      <c r="M17"/>
    </row>
    <row r="18" spans="1:13" x14ac:dyDescent="0.3">
      <c r="A18">
        <v>191774</v>
      </c>
      <c r="B18" t="s">
        <v>146</v>
      </c>
      <c r="C18" s="15">
        <v>1826.25</v>
      </c>
      <c r="D18" s="21">
        <v>46065</v>
      </c>
      <c r="E18" t="s">
        <v>152</v>
      </c>
      <c r="F18" s="3">
        <v>46076</v>
      </c>
      <c r="G18">
        <v>428213</v>
      </c>
      <c r="H18"/>
      <c r="I18" s="61">
        <v>1826.25</v>
      </c>
      <c r="J18" t="s">
        <v>21</v>
      </c>
      <c r="K18" s="32" t="b">
        <v>0</v>
      </c>
      <c r="L18" t="s">
        <v>191</v>
      </c>
      <c r="M18"/>
    </row>
    <row r="19" spans="1:13" x14ac:dyDescent="0.3">
      <c r="A19">
        <v>191772</v>
      </c>
      <c r="B19" t="s">
        <v>123</v>
      </c>
      <c r="C19" s="15">
        <v>1811</v>
      </c>
      <c r="D19" s="21">
        <v>46064</v>
      </c>
      <c r="E19" t="s">
        <v>152</v>
      </c>
      <c r="F19" s="3">
        <v>46076</v>
      </c>
      <c r="G19" t="s">
        <v>192</v>
      </c>
      <c r="H19"/>
      <c r="I19"/>
      <c r="J19"/>
      <c r="K19" s="32" t="b">
        <v>0</v>
      </c>
      <c r="L19" t="s">
        <v>158</v>
      </c>
      <c r="M19"/>
    </row>
    <row r="20" spans="1:13" x14ac:dyDescent="0.3">
      <c r="A20">
        <v>191779</v>
      </c>
      <c r="B20" t="s">
        <v>193</v>
      </c>
      <c r="C20" s="15">
        <v>4470</v>
      </c>
      <c r="D20" s="21">
        <v>46064</v>
      </c>
      <c r="E20" t="s">
        <v>152</v>
      </c>
      <c r="F20" s="3">
        <v>46076</v>
      </c>
      <c r="G20" t="s">
        <v>194</v>
      </c>
      <c r="H20"/>
      <c r="I20" s="61">
        <v>1282.25</v>
      </c>
      <c r="J20" t="s">
        <v>21</v>
      </c>
      <c r="K20" s="32" t="b">
        <v>0</v>
      </c>
      <c r="L20" t="s">
        <v>195</v>
      </c>
      <c r="M20"/>
    </row>
    <row r="21" spans="1:13" x14ac:dyDescent="0.3">
      <c r="A21">
        <v>191769</v>
      </c>
      <c r="B21" t="s">
        <v>196</v>
      </c>
      <c r="C21" s="15">
        <v>5233.34</v>
      </c>
      <c r="D21" s="21">
        <v>46064</v>
      </c>
      <c r="E21" t="s">
        <v>152</v>
      </c>
      <c r="F21" s="3">
        <v>46076</v>
      </c>
      <c r="G21" t="s">
        <v>197</v>
      </c>
      <c r="H21"/>
      <c r="I21" s="61">
        <v>5233.34</v>
      </c>
      <c r="J21" t="s">
        <v>21</v>
      </c>
      <c r="K21" s="32" t="b">
        <v>0</v>
      </c>
      <c r="L21" t="s">
        <v>198</v>
      </c>
      <c r="M21"/>
    </row>
    <row r="22" spans="1:13" x14ac:dyDescent="0.3">
      <c r="A22">
        <v>191882</v>
      </c>
      <c r="B22" t="s">
        <v>78</v>
      </c>
      <c r="C22" s="15">
        <v>7470</v>
      </c>
      <c r="D22" s="21">
        <v>46066</v>
      </c>
      <c r="E22" t="s">
        <v>152</v>
      </c>
      <c r="F22" s="3">
        <v>46076</v>
      </c>
      <c r="G22" t="s">
        <v>199</v>
      </c>
      <c r="H22"/>
      <c r="I22" s="61">
        <v>7470</v>
      </c>
      <c r="J22" t="s">
        <v>21</v>
      </c>
      <c r="K22" s="32" t="b">
        <v>0</v>
      </c>
      <c r="L22" t="s">
        <v>200</v>
      </c>
      <c r="M22"/>
    </row>
    <row r="23" spans="1:13" x14ac:dyDescent="0.3">
      <c r="A23">
        <v>191836</v>
      </c>
      <c r="B23" t="s">
        <v>46</v>
      </c>
      <c r="C23" s="15">
        <v>5610.88</v>
      </c>
      <c r="D23" s="21">
        <v>46065</v>
      </c>
      <c r="E23" t="s">
        <v>152</v>
      </c>
      <c r="F23" s="3">
        <v>46076</v>
      </c>
      <c r="G23" t="s">
        <v>201</v>
      </c>
      <c r="H23"/>
      <c r="I23"/>
      <c r="J23"/>
      <c r="K23" s="32" t="b">
        <v>0</v>
      </c>
      <c r="L23" t="s">
        <v>158</v>
      </c>
      <c r="M23"/>
    </row>
    <row r="24" spans="1:13" x14ac:dyDescent="0.3">
      <c r="A24">
        <v>191722</v>
      </c>
      <c r="B24" t="s">
        <v>151</v>
      </c>
      <c r="C24" s="15">
        <v>5957.55</v>
      </c>
      <c r="D24" s="21">
        <v>46063</v>
      </c>
      <c r="E24" t="s">
        <v>152</v>
      </c>
      <c r="F24" s="3">
        <v>46078</v>
      </c>
      <c r="H24"/>
      <c r="I24" s="61">
        <v>5957.55</v>
      </c>
      <c r="J24" t="s">
        <v>21</v>
      </c>
      <c r="K24" s="32" t="b">
        <v>0</v>
      </c>
      <c r="L24" t="s">
        <v>154</v>
      </c>
      <c r="M24"/>
    </row>
    <row r="25" spans="1:13" x14ac:dyDescent="0.3">
      <c r="A25">
        <v>191747</v>
      </c>
      <c r="B25" t="s">
        <v>155</v>
      </c>
      <c r="C25" s="15">
        <v>2976.89</v>
      </c>
      <c r="D25" s="21">
        <v>46065</v>
      </c>
      <c r="E25" t="s">
        <v>152</v>
      </c>
      <c r="F25" s="3">
        <v>46078</v>
      </c>
      <c r="G25" t="s">
        <v>202</v>
      </c>
      <c r="H25"/>
      <c r="I25" s="61">
        <v>2976.89</v>
      </c>
      <c r="J25" t="s">
        <v>21</v>
      </c>
      <c r="K25" s="32" t="b">
        <v>0</v>
      </c>
      <c r="L25" t="s">
        <v>156</v>
      </c>
      <c r="M25"/>
    </row>
    <row r="26" spans="1:13" x14ac:dyDescent="0.3">
      <c r="A26">
        <v>191892</v>
      </c>
      <c r="B26" t="s">
        <v>155</v>
      </c>
      <c r="C26" s="15">
        <v>2675.38</v>
      </c>
      <c r="D26" s="21">
        <v>46066</v>
      </c>
      <c r="E26" t="s">
        <v>152</v>
      </c>
      <c r="F26" s="3">
        <v>46078</v>
      </c>
      <c r="G26" t="s">
        <v>202</v>
      </c>
      <c r="H26"/>
      <c r="I26" s="61">
        <v>2675.38</v>
      </c>
      <c r="J26" t="s">
        <v>21</v>
      </c>
      <c r="K26" s="32" t="b">
        <v>0</v>
      </c>
      <c r="L26" t="s">
        <v>203</v>
      </c>
      <c r="M26"/>
    </row>
    <row r="27" spans="1:13" x14ac:dyDescent="0.3">
      <c r="A27">
        <v>191457</v>
      </c>
      <c r="B27" t="s">
        <v>110</v>
      </c>
      <c r="C27" s="15">
        <v>5422.38</v>
      </c>
      <c r="D27" s="21">
        <v>46055</v>
      </c>
      <c r="E27" t="s">
        <v>152</v>
      </c>
      <c r="F27" s="3">
        <v>46078</v>
      </c>
      <c r="G27" t="s">
        <v>204</v>
      </c>
      <c r="H27"/>
      <c r="I27" s="61">
        <v>5422.38</v>
      </c>
      <c r="J27" t="s">
        <v>21</v>
      </c>
      <c r="K27" s="32" t="b">
        <v>0</v>
      </c>
      <c r="L27" t="s">
        <v>161</v>
      </c>
      <c r="M27"/>
    </row>
    <row r="28" spans="1:13" x14ac:dyDescent="0.3">
      <c r="A28">
        <v>191877</v>
      </c>
      <c r="B28" t="s">
        <v>162</v>
      </c>
      <c r="C28" s="15">
        <v>1788</v>
      </c>
      <c r="D28" s="21">
        <v>46066</v>
      </c>
      <c r="E28" t="s">
        <v>152</v>
      </c>
      <c r="F28" s="3">
        <v>46078</v>
      </c>
      <c r="G28" t="s">
        <v>163</v>
      </c>
      <c r="H28"/>
      <c r="I28" s="61">
        <v>1788</v>
      </c>
      <c r="J28" t="s">
        <v>81</v>
      </c>
      <c r="K28" s="32" t="b">
        <v>0</v>
      </c>
      <c r="L28" t="s">
        <v>164</v>
      </c>
      <c r="M28"/>
    </row>
    <row r="29" spans="1:13" x14ac:dyDescent="0.3">
      <c r="A29">
        <v>191880</v>
      </c>
      <c r="B29" t="s">
        <v>165</v>
      </c>
      <c r="C29" s="15">
        <v>3862.94</v>
      </c>
      <c r="D29" s="21">
        <v>46066</v>
      </c>
      <c r="E29" t="s">
        <v>152</v>
      </c>
      <c r="F29" s="3">
        <v>46078</v>
      </c>
      <c r="G29" t="s">
        <v>166</v>
      </c>
      <c r="H29"/>
      <c r="I29"/>
      <c r="J29"/>
      <c r="K29" s="32" t="b">
        <v>0</v>
      </c>
      <c r="L29" t="s">
        <v>205</v>
      </c>
      <c r="M29"/>
    </row>
    <row r="30" spans="1:13" x14ac:dyDescent="0.3">
      <c r="A30">
        <v>191881</v>
      </c>
      <c r="B30" t="s">
        <v>165</v>
      </c>
      <c r="C30" s="15">
        <v>2365.5</v>
      </c>
      <c r="D30" s="21">
        <v>46066</v>
      </c>
      <c r="E30" t="s">
        <v>152</v>
      </c>
      <c r="F30" s="3">
        <v>46078</v>
      </c>
      <c r="G30" t="s">
        <v>166</v>
      </c>
      <c r="H30"/>
      <c r="I30"/>
      <c r="J30"/>
      <c r="K30" s="32" t="b">
        <v>0</v>
      </c>
      <c r="L30" t="s">
        <v>205</v>
      </c>
      <c r="M30"/>
    </row>
    <row r="31" spans="1:13" x14ac:dyDescent="0.3">
      <c r="A31">
        <v>191459</v>
      </c>
      <c r="B31" t="s">
        <v>167</v>
      </c>
      <c r="C31" s="15">
        <v>6508.2</v>
      </c>
      <c r="D31" s="21">
        <v>46055</v>
      </c>
      <c r="E31" t="s">
        <v>152</v>
      </c>
      <c r="F31" s="3">
        <v>46078</v>
      </c>
      <c r="G31" t="s">
        <v>168</v>
      </c>
      <c r="H31"/>
      <c r="I31" s="61">
        <v>6508.2</v>
      </c>
      <c r="J31" t="s">
        <v>21</v>
      </c>
      <c r="K31" s="32" t="b">
        <v>0</v>
      </c>
      <c r="L31" t="s">
        <v>169</v>
      </c>
      <c r="M31"/>
    </row>
    <row r="32" spans="1:13" x14ac:dyDescent="0.3">
      <c r="A32">
        <v>191828</v>
      </c>
      <c r="B32" t="s">
        <v>170</v>
      </c>
      <c r="C32" s="15">
        <v>2667.14</v>
      </c>
      <c r="D32" s="21">
        <v>46066</v>
      </c>
      <c r="E32" t="s">
        <v>152</v>
      </c>
      <c r="F32" s="3">
        <v>46078</v>
      </c>
      <c r="G32" t="s">
        <v>171</v>
      </c>
      <c r="H32"/>
      <c r="I32" s="61">
        <v>2667.14</v>
      </c>
      <c r="J32" t="s">
        <v>21</v>
      </c>
      <c r="K32" s="32" t="b">
        <v>0</v>
      </c>
      <c r="L32" t="s">
        <v>172</v>
      </c>
      <c r="M32"/>
    </row>
    <row r="33" spans="1:13" x14ac:dyDescent="0.3">
      <c r="A33">
        <v>191751</v>
      </c>
      <c r="B33" t="s">
        <v>173</v>
      </c>
      <c r="C33" s="15">
        <v>4299.68</v>
      </c>
      <c r="D33" s="21">
        <v>46065</v>
      </c>
      <c r="E33" t="s">
        <v>152</v>
      </c>
      <c r="F33" s="3">
        <v>46078</v>
      </c>
      <c r="G33" t="s">
        <v>174</v>
      </c>
      <c r="H33"/>
      <c r="I33" s="61">
        <v>4299.68</v>
      </c>
      <c r="J33" t="s">
        <v>21</v>
      </c>
      <c r="K33" s="32" t="b">
        <v>1</v>
      </c>
      <c r="L33" t="s">
        <v>175</v>
      </c>
      <c r="M33"/>
    </row>
    <row r="34" spans="1:13" x14ac:dyDescent="0.3">
      <c r="A34">
        <v>191817</v>
      </c>
      <c r="B34" t="s">
        <v>176</v>
      </c>
      <c r="C34" s="15">
        <v>17508.439999999999</v>
      </c>
      <c r="D34" s="21">
        <v>46064</v>
      </c>
      <c r="E34" t="s">
        <v>152</v>
      </c>
      <c r="F34" s="3">
        <v>46078</v>
      </c>
      <c r="G34" t="s">
        <v>177</v>
      </c>
      <c r="H34"/>
      <c r="I34"/>
      <c r="J34" t="s">
        <v>178</v>
      </c>
      <c r="K34" s="32" t="b">
        <v>0</v>
      </c>
      <c r="L34" t="s">
        <v>206</v>
      </c>
      <c r="M34"/>
    </row>
    <row r="35" spans="1:13" x14ac:dyDescent="0.3">
      <c r="A35">
        <v>191785</v>
      </c>
      <c r="B35" t="s">
        <v>134</v>
      </c>
      <c r="C35" s="15">
        <v>1512</v>
      </c>
      <c r="D35" s="21">
        <v>46065</v>
      </c>
      <c r="E35" t="s">
        <v>152</v>
      </c>
      <c r="F35" s="3">
        <v>46078</v>
      </c>
      <c r="G35" t="s">
        <v>207</v>
      </c>
      <c r="H35"/>
      <c r="I35" s="61">
        <v>1512</v>
      </c>
      <c r="J35" t="s">
        <v>21</v>
      </c>
      <c r="K35" s="32" t="b">
        <v>0</v>
      </c>
      <c r="L35" t="s">
        <v>181</v>
      </c>
      <c r="M35"/>
    </row>
    <row r="36" spans="1:13" x14ac:dyDescent="0.3">
      <c r="A36">
        <v>191840</v>
      </c>
      <c r="B36" t="s">
        <v>182</v>
      </c>
      <c r="C36" s="15">
        <v>4912.84</v>
      </c>
      <c r="D36" s="21">
        <v>46065</v>
      </c>
      <c r="E36" t="s">
        <v>152</v>
      </c>
      <c r="F36" s="3">
        <v>46078</v>
      </c>
      <c r="H36"/>
      <c r="I36" s="61">
        <v>4912.84</v>
      </c>
      <c r="J36" t="s">
        <v>21</v>
      </c>
      <c r="K36" s="32" t="b">
        <v>0</v>
      </c>
      <c r="L36" t="s">
        <v>183</v>
      </c>
      <c r="M36"/>
    </row>
    <row r="37" spans="1:13" x14ac:dyDescent="0.3">
      <c r="A37">
        <v>191789</v>
      </c>
      <c r="B37" t="s">
        <v>184</v>
      </c>
      <c r="C37" s="15">
        <v>2256</v>
      </c>
      <c r="D37" s="21">
        <v>46066</v>
      </c>
      <c r="E37" t="s">
        <v>152</v>
      </c>
      <c r="F37" s="3">
        <v>46078</v>
      </c>
      <c r="G37" t="s">
        <v>185</v>
      </c>
      <c r="H37"/>
      <c r="I37" s="61">
        <v>2256</v>
      </c>
      <c r="J37" t="s">
        <v>21</v>
      </c>
      <c r="K37" s="32" t="b">
        <v>0</v>
      </c>
      <c r="L37" t="s">
        <v>186</v>
      </c>
      <c r="M37"/>
    </row>
    <row r="38" spans="1:13" x14ac:dyDescent="0.3">
      <c r="A38">
        <v>191733</v>
      </c>
      <c r="B38" t="s">
        <v>187</v>
      </c>
      <c r="C38" s="15">
        <v>1847</v>
      </c>
      <c r="E38" t="s">
        <v>152</v>
      </c>
      <c r="F38" s="3">
        <v>46078</v>
      </c>
      <c r="H38"/>
      <c r="I38"/>
      <c r="J38" t="s">
        <v>178</v>
      </c>
      <c r="K38" s="32" t="b">
        <v>0</v>
      </c>
      <c r="L38" t="s">
        <v>208</v>
      </c>
      <c r="M38"/>
    </row>
    <row r="39" spans="1:13" x14ac:dyDescent="0.3">
      <c r="A39">
        <v>191777</v>
      </c>
      <c r="B39" t="s">
        <v>146</v>
      </c>
      <c r="C39" s="15">
        <v>4553.38</v>
      </c>
      <c r="D39" s="21">
        <v>46065</v>
      </c>
      <c r="E39" t="s">
        <v>152</v>
      </c>
      <c r="F39" s="3">
        <v>46078</v>
      </c>
      <c r="G39" t="s">
        <v>189</v>
      </c>
      <c r="H39"/>
      <c r="I39" s="61">
        <v>4553.38</v>
      </c>
      <c r="J39" t="s">
        <v>21</v>
      </c>
      <c r="K39" s="32" t="b">
        <v>0</v>
      </c>
      <c r="L39" t="s">
        <v>190</v>
      </c>
      <c r="M39"/>
    </row>
    <row r="40" spans="1:13" x14ac:dyDescent="0.3">
      <c r="A40">
        <v>191774</v>
      </c>
      <c r="B40" t="s">
        <v>146</v>
      </c>
      <c r="C40" s="15">
        <v>1826.25</v>
      </c>
      <c r="D40" s="21">
        <v>46065</v>
      </c>
      <c r="E40" t="s">
        <v>152</v>
      </c>
      <c r="F40" s="3">
        <v>46078</v>
      </c>
      <c r="G40" t="s">
        <v>189</v>
      </c>
      <c r="H40"/>
      <c r="I40" s="61">
        <v>1826.25</v>
      </c>
      <c r="J40" t="s">
        <v>21</v>
      </c>
      <c r="K40" s="32" t="b">
        <v>0</v>
      </c>
      <c r="L40" t="s">
        <v>191</v>
      </c>
      <c r="M40"/>
    </row>
    <row r="41" spans="1:13" x14ac:dyDescent="0.3">
      <c r="A41">
        <v>191772</v>
      </c>
      <c r="B41" t="s">
        <v>123</v>
      </c>
      <c r="C41" s="15">
        <v>1811</v>
      </c>
      <c r="D41" s="21">
        <v>46064</v>
      </c>
      <c r="E41" t="s">
        <v>152</v>
      </c>
      <c r="F41" s="3">
        <v>46078</v>
      </c>
      <c r="G41" t="s">
        <v>192</v>
      </c>
      <c r="H41"/>
      <c r="I41">
        <v>164</v>
      </c>
      <c r="J41" t="s">
        <v>21</v>
      </c>
      <c r="K41" s="32" t="b">
        <v>0</v>
      </c>
      <c r="L41" t="s">
        <v>209</v>
      </c>
      <c r="M41"/>
    </row>
    <row r="42" spans="1:13" x14ac:dyDescent="0.3">
      <c r="A42">
        <v>191779</v>
      </c>
      <c r="B42" t="s">
        <v>193</v>
      </c>
      <c r="C42" s="15">
        <v>4470</v>
      </c>
      <c r="D42" s="21">
        <v>46064</v>
      </c>
      <c r="E42" t="s">
        <v>152</v>
      </c>
      <c r="F42" s="3">
        <v>46078</v>
      </c>
      <c r="G42" t="s">
        <v>194</v>
      </c>
      <c r="H42"/>
      <c r="I42" s="61">
        <v>4470</v>
      </c>
      <c r="J42" t="s">
        <v>21</v>
      </c>
      <c r="K42" s="32" t="b">
        <v>0</v>
      </c>
      <c r="L42" t="s">
        <v>210</v>
      </c>
      <c r="M42"/>
    </row>
    <row r="43" spans="1:13" x14ac:dyDescent="0.3">
      <c r="A43">
        <v>191769</v>
      </c>
      <c r="B43" t="s">
        <v>196</v>
      </c>
      <c r="C43" s="15">
        <v>5233.34</v>
      </c>
      <c r="D43" s="21">
        <v>46064</v>
      </c>
      <c r="E43" t="s">
        <v>152</v>
      </c>
      <c r="F43" s="3">
        <v>46078</v>
      </c>
      <c r="G43" t="s">
        <v>197</v>
      </c>
      <c r="H43"/>
      <c r="I43" s="61">
        <v>5233.34</v>
      </c>
      <c r="J43" t="s">
        <v>21</v>
      </c>
      <c r="K43" s="32" t="b">
        <v>1</v>
      </c>
      <c r="L43" t="s">
        <v>198</v>
      </c>
      <c r="M43"/>
    </row>
    <row r="44" spans="1:13" x14ac:dyDescent="0.3">
      <c r="A44">
        <v>191882</v>
      </c>
      <c r="B44" t="s">
        <v>78</v>
      </c>
      <c r="C44" s="15">
        <v>7470</v>
      </c>
      <c r="D44" s="21">
        <v>46066</v>
      </c>
      <c r="E44" t="s">
        <v>152</v>
      </c>
      <c r="F44" s="3">
        <v>46078</v>
      </c>
      <c r="H44"/>
      <c r="I44" s="61">
        <v>7470</v>
      </c>
      <c r="J44" t="s">
        <v>21</v>
      </c>
      <c r="K44" s="32" t="b">
        <v>0</v>
      </c>
      <c r="L44" t="s">
        <v>200</v>
      </c>
      <c r="M44"/>
    </row>
    <row r="45" spans="1:13" x14ac:dyDescent="0.3">
      <c r="A45">
        <v>191836</v>
      </c>
      <c r="B45" t="s">
        <v>46</v>
      </c>
      <c r="C45" s="15">
        <v>5610.88</v>
      </c>
      <c r="D45" s="21">
        <v>46065</v>
      </c>
      <c r="E45" t="s">
        <v>152</v>
      </c>
      <c r="F45" s="3">
        <v>46078</v>
      </c>
      <c r="G45" t="s">
        <v>201</v>
      </c>
      <c r="H45"/>
      <c r="I45"/>
      <c r="J45"/>
      <c r="K45" s="32" t="b">
        <v>0</v>
      </c>
      <c r="L45" t="s">
        <v>211</v>
      </c>
      <c r="M45"/>
    </row>
    <row r="46" spans="1:13" x14ac:dyDescent="0.3">
      <c r="A46" s="72"/>
      <c r="B46" s="27"/>
      <c r="C46" s="73"/>
      <c r="E46" s="27"/>
      <c r="F46" s="48"/>
      <c r="G46" s="47"/>
      <c r="H46" s="28"/>
      <c r="I46" s="29"/>
      <c r="J46" s="30"/>
      <c r="K46" s="32" t="b">
        <v>0</v>
      </c>
      <c r="L46" s="27"/>
      <c r="M46" s="47"/>
    </row>
    <row r="47" spans="1:13" x14ac:dyDescent="0.3">
      <c r="A47">
        <v>191624</v>
      </c>
      <c r="B47" t="s">
        <v>124</v>
      </c>
      <c r="C47" s="15">
        <v>22504.45</v>
      </c>
      <c r="D47" s="21">
        <v>46059</v>
      </c>
      <c r="E47" t="s">
        <v>212</v>
      </c>
      <c r="F47" s="48">
        <v>46076</v>
      </c>
      <c r="G47" s="47" t="s">
        <v>213</v>
      </c>
      <c r="H47" s="28" t="s">
        <v>214</v>
      </c>
      <c r="I47" s="29"/>
      <c r="J47" s="30"/>
      <c r="K47" s="32" t="b">
        <v>0</v>
      </c>
      <c r="L47" s="27" t="s">
        <v>158</v>
      </c>
      <c r="M47" s="47"/>
    </row>
    <row r="48" spans="1:13" x14ac:dyDescent="0.3">
      <c r="A48">
        <v>191608</v>
      </c>
      <c r="B48" t="s">
        <v>124</v>
      </c>
      <c r="C48" s="15">
        <v>22646.55</v>
      </c>
      <c r="D48" s="21">
        <v>46059</v>
      </c>
      <c r="E48" t="s">
        <v>212</v>
      </c>
      <c r="F48" s="48">
        <v>46076</v>
      </c>
      <c r="G48" t="s">
        <v>213</v>
      </c>
      <c r="H48" t="s">
        <v>214</v>
      </c>
      <c r="I48"/>
      <c r="J48"/>
      <c r="K48" s="32" t="b">
        <v>0</v>
      </c>
      <c r="L48" t="s">
        <v>205</v>
      </c>
      <c r="M48"/>
    </row>
    <row r="49" spans="1:13" x14ac:dyDescent="0.3">
      <c r="A49">
        <v>191567</v>
      </c>
      <c r="B49" t="s">
        <v>215</v>
      </c>
      <c r="C49" s="15">
        <v>5678.9</v>
      </c>
      <c r="D49" s="21">
        <v>46058</v>
      </c>
      <c r="E49" t="s">
        <v>212</v>
      </c>
      <c r="F49" s="48">
        <v>46076</v>
      </c>
      <c r="G49" s="47" t="s">
        <v>216</v>
      </c>
      <c r="H49" s="28"/>
      <c r="I49" s="29"/>
      <c r="J49" s="30"/>
      <c r="K49" s="32" t="b">
        <v>0</v>
      </c>
      <c r="L49" s="27" t="s">
        <v>158</v>
      </c>
      <c r="M49" s="47"/>
    </row>
    <row r="51" spans="1:13" x14ac:dyDescent="0.3">
      <c r="B51" s="16" t="s">
        <v>77</v>
      </c>
      <c r="C51" s="1">
        <f>SUM(Eric[Quote Amount])</f>
        <v>245899.48</v>
      </c>
    </row>
  </sheetData>
  <hyperlinks>
    <hyperlink ref="G4" r:id="rId1" xr:uid="{99AEC261-BEA0-40CA-8BD7-0B7F7F2F4087}"/>
    <hyperlink ref="G5" r:id="rId2" xr:uid="{18442E5F-8E0A-4DB1-B2A4-DC07DD7637EA}"/>
  </hyperlinks>
  <pageMargins left="0.75" right="0.75" top="1" bottom="1" header="0.5" footer="0.5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5"/>
  <sheetViews>
    <sheetView tabSelected="1" topLeftCell="A154" zoomScaleNormal="100" workbookViewId="0">
      <selection activeCell="A76" sqref="A76:XFD165"/>
    </sheetView>
  </sheetViews>
  <sheetFormatPr defaultRowHeight="14.4" x14ac:dyDescent="0.3"/>
  <cols>
    <col min="1" max="1" width="17.109375" bestFit="1" customWidth="1"/>
    <col min="2" max="2" width="15.6640625" customWidth="1"/>
    <col min="3" max="3" width="18.33203125" style="2" bestFit="1" customWidth="1"/>
    <col min="4" max="4" width="21.5546875" style="21" bestFit="1" customWidth="1"/>
    <col min="5" max="5" width="15" customWidth="1"/>
    <col min="6" max="6" width="17" style="3" bestFit="1" customWidth="1"/>
    <col min="7" max="7" width="18.5546875" style="26" bestFit="1" customWidth="1"/>
    <col min="8" max="8" width="20.6640625" style="6" bestFit="1" customWidth="1"/>
    <col min="9" max="9" width="17.6640625" style="2" bestFit="1" customWidth="1"/>
    <col min="10" max="10" width="12.44140625" style="19" bestFit="1" customWidth="1"/>
    <col min="11" max="11" width="17.33203125" customWidth="1"/>
    <col min="12" max="12" width="39.33203125" bestFit="1" customWidth="1"/>
    <col min="13" max="13" width="27.6640625" style="26" bestFit="1" customWidth="1"/>
  </cols>
  <sheetData>
    <row r="1" spans="1:13" x14ac:dyDescent="0.3">
      <c r="A1" t="s">
        <v>0</v>
      </c>
      <c r="B1" t="s">
        <v>13</v>
      </c>
      <c r="C1" s="2" t="s">
        <v>2</v>
      </c>
      <c r="D1" s="21" t="s">
        <v>14</v>
      </c>
      <c r="E1" t="s">
        <v>4</v>
      </c>
      <c r="F1" s="3" t="s">
        <v>5</v>
      </c>
      <c r="G1" s="26" t="s">
        <v>6</v>
      </c>
      <c r="H1" s="24" t="s">
        <v>7</v>
      </c>
      <c r="I1" s="2" t="s">
        <v>8</v>
      </c>
      <c r="J1" s="19" t="s">
        <v>9</v>
      </c>
      <c r="K1" t="s">
        <v>15</v>
      </c>
      <c r="L1" t="s">
        <v>11</v>
      </c>
      <c r="M1" s="26" t="s">
        <v>12</v>
      </c>
    </row>
    <row r="2" spans="1:13" x14ac:dyDescent="0.3">
      <c r="A2">
        <v>190638</v>
      </c>
      <c r="B2" t="s">
        <v>196</v>
      </c>
      <c r="C2" s="15">
        <v>3322.91</v>
      </c>
      <c r="D2" s="21">
        <v>46032</v>
      </c>
      <c r="E2" t="s">
        <v>217</v>
      </c>
      <c r="F2" s="21"/>
      <c r="G2" t="s">
        <v>218</v>
      </c>
      <c r="H2"/>
      <c r="I2"/>
      <c r="J2" t="s">
        <v>219</v>
      </c>
      <c r="K2" s="20" t="b">
        <v>0</v>
      </c>
      <c r="L2" t="s">
        <v>220</v>
      </c>
      <c r="M2" s="3">
        <v>46051</v>
      </c>
    </row>
    <row r="3" spans="1:13" x14ac:dyDescent="0.3">
      <c r="A3">
        <v>191493</v>
      </c>
      <c r="B3" t="s">
        <v>221</v>
      </c>
      <c r="C3" s="15">
        <v>2173</v>
      </c>
      <c r="D3" s="21">
        <v>46056</v>
      </c>
      <c r="E3" t="s">
        <v>217</v>
      </c>
      <c r="G3"/>
      <c r="H3"/>
      <c r="I3" s="61"/>
      <c r="J3" t="s">
        <v>219</v>
      </c>
      <c r="K3" s="20" t="b">
        <v>0</v>
      </c>
      <c r="L3" t="s">
        <v>222</v>
      </c>
      <c r="M3" s="3"/>
    </row>
    <row r="4" spans="1:13" x14ac:dyDescent="0.3">
      <c r="A4">
        <v>191497</v>
      </c>
      <c r="B4" t="s">
        <v>223</v>
      </c>
      <c r="C4" s="15">
        <v>2080</v>
      </c>
      <c r="D4" s="21">
        <v>46056</v>
      </c>
      <c r="E4" t="s">
        <v>217</v>
      </c>
      <c r="F4" s="21"/>
      <c r="G4" s="46"/>
      <c r="H4" s="24"/>
      <c r="J4" s="19" t="s">
        <v>219</v>
      </c>
      <c r="K4" s="20" t="b">
        <v>0</v>
      </c>
      <c r="L4" t="s">
        <v>222</v>
      </c>
      <c r="M4" s="21"/>
    </row>
    <row r="5" spans="1:13" x14ac:dyDescent="0.3">
      <c r="A5">
        <v>191493</v>
      </c>
      <c r="B5" t="s">
        <v>221</v>
      </c>
      <c r="C5" s="15">
        <v>2173</v>
      </c>
      <c r="D5" s="21">
        <v>46056</v>
      </c>
      <c r="E5" t="s">
        <v>217</v>
      </c>
      <c r="F5"/>
      <c r="G5"/>
      <c r="H5"/>
      <c r="I5"/>
      <c r="J5" t="s">
        <v>219</v>
      </c>
      <c r="K5" s="20" t="b">
        <v>0</v>
      </c>
      <c r="M5"/>
    </row>
    <row r="6" spans="1:13" x14ac:dyDescent="0.3">
      <c r="A6">
        <v>191497</v>
      </c>
      <c r="B6" t="s">
        <v>223</v>
      </c>
      <c r="C6" s="15">
        <v>2080</v>
      </c>
      <c r="D6" s="21">
        <v>46056</v>
      </c>
      <c r="E6" t="s">
        <v>217</v>
      </c>
      <c r="F6"/>
      <c r="G6"/>
      <c r="H6"/>
      <c r="I6"/>
      <c r="J6" t="s">
        <v>219</v>
      </c>
      <c r="K6" s="20" t="b">
        <v>0</v>
      </c>
      <c r="M6"/>
    </row>
    <row r="7" spans="1:13" x14ac:dyDescent="0.3">
      <c r="A7">
        <v>190511</v>
      </c>
      <c r="B7" t="s">
        <v>224</v>
      </c>
      <c r="C7" s="15">
        <v>4159.33</v>
      </c>
      <c r="D7" s="21">
        <v>46036</v>
      </c>
      <c r="E7" t="s">
        <v>217</v>
      </c>
      <c r="F7" s="21"/>
      <c r="G7" t="s">
        <v>225</v>
      </c>
      <c r="H7"/>
      <c r="I7" s="61">
        <v>1927.79</v>
      </c>
      <c r="J7" t="s">
        <v>81</v>
      </c>
      <c r="K7" s="20" t="b">
        <v>1</v>
      </c>
      <c r="L7" t="s">
        <v>226</v>
      </c>
      <c r="M7" s="3">
        <v>46051</v>
      </c>
    </row>
    <row r="8" spans="1:13" x14ac:dyDescent="0.3">
      <c r="A8">
        <v>191745</v>
      </c>
      <c r="B8" t="s">
        <v>227</v>
      </c>
      <c r="C8" s="15">
        <v>2118</v>
      </c>
      <c r="D8" s="21">
        <v>46063</v>
      </c>
      <c r="E8" t="s">
        <v>217</v>
      </c>
      <c r="G8"/>
      <c r="H8"/>
      <c r="I8"/>
      <c r="J8"/>
      <c r="K8" s="20" t="b">
        <v>0</v>
      </c>
      <c r="M8" s="3"/>
    </row>
    <row r="9" spans="1:13" x14ac:dyDescent="0.3">
      <c r="A9">
        <v>191597</v>
      </c>
      <c r="B9" t="s">
        <v>228</v>
      </c>
      <c r="C9" s="15">
        <v>2226.96</v>
      </c>
      <c r="D9" s="21">
        <v>46059</v>
      </c>
      <c r="E9" t="s">
        <v>217</v>
      </c>
      <c r="G9"/>
      <c r="H9"/>
      <c r="I9" s="61"/>
      <c r="J9"/>
      <c r="K9" s="20" t="b">
        <v>0</v>
      </c>
      <c r="M9" s="3"/>
    </row>
    <row r="10" spans="1:13" x14ac:dyDescent="0.3">
      <c r="A10">
        <v>191807</v>
      </c>
      <c r="B10" t="s">
        <v>229</v>
      </c>
      <c r="C10" s="15">
        <v>2238.64</v>
      </c>
      <c r="D10" s="21">
        <v>46064</v>
      </c>
      <c r="E10" t="s">
        <v>217</v>
      </c>
      <c r="G10"/>
      <c r="H10"/>
      <c r="I10"/>
      <c r="J10"/>
      <c r="K10" s="20" t="b">
        <v>0</v>
      </c>
      <c r="M10" s="3"/>
    </row>
    <row r="11" spans="1:13" x14ac:dyDescent="0.3">
      <c r="A11">
        <v>191958</v>
      </c>
      <c r="B11" t="s">
        <v>230</v>
      </c>
      <c r="C11" s="15">
        <v>4890.0200000000004</v>
      </c>
      <c r="D11" s="21">
        <v>46067</v>
      </c>
      <c r="E11" t="s">
        <v>217</v>
      </c>
      <c r="G11"/>
      <c r="H11"/>
      <c r="I11" s="61"/>
      <c r="J11"/>
      <c r="K11" s="20" t="b">
        <v>0</v>
      </c>
      <c r="M11" s="3"/>
    </row>
    <row r="12" spans="1:13" x14ac:dyDescent="0.3">
      <c r="A12">
        <v>191516</v>
      </c>
      <c r="B12" t="s">
        <v>231</v>
      </c>
      <c r="C12" s="15">
        <v>7331.76</v>
      </c>
      <c r="D12" s="21">
        <v>46057</v>
      </c>
      <c r="E12" t="s">
        <v>217</v>
      </c>
      <c r="G12"/>
      <c r="H12"/>
      <c r="I12" s="61"/>
      <c r="J12"/>
      <c r="K12" s="20" t="b">
        <v>0</v>
      </c>
      <c r="M12" s="3"/>
    </row>
    <row r="13" spans="1:13" x14ac:dyDescent="0.3">
      <c r="A13">
        <v>191911</v>
      </c>
      <c r="B13" t="s">
        <v>232</v>
      </c>
      <c r="C13" s="15">
        <v>2125.25</v>
      </c>
      <c r="E13" t="s">
        <v>217</v>
      </c>
      <c r="G13"/>
      <c r="H13"/>
      <c r="I13" s="61"/>
      <c r="J13"/>
      <c r="K13" s="20" t="b">
        <v>0</v>
      </c>
      <c r="M13" s="3"/>
    </row>
    <row r="14" spans="1:13" x14ac:dyDescent="0.3">
      <c r="A14">
        <v>191931</v>
      </c>
      <c r="B14" t="s">
        <v>167</v>
      </c>
      <c r="C14" s="15">
        <v>1926.02</v>
      </c>
      <c r="D14" s="21">
        <v>46067</v>
      </c>
      <c r="E14" t="s">
        <v>217</v>
      </c>
      <c r="F14" s="21"/>
      <c r="H14" s="24"/>
      <c r="K14" s="20" t="b">
        <v>0</v>
      </c>
      <c r="M14" s="21"/>
    </row>
    <row r="15" spans="1:13" x14ac:dyDescent="0.3">
      <c r="A15">
        <v>191920</v>
      </c>
      <c r="B15" t="s">
        <v>124</v>
      </c>
      <c r="C15" s="15">
        <v>102426.5</v>
      </c>
      <c r="D15" s="21">
        <v>46066</v>
      </c>
      <c r="E15" t="s">
        <v>217</v>
      </c>
      <c r="G15"/>
      <c r="H15"/>
      <c r="I15" s="61"/>
      <c r="J15"/>
      <c r="K15" s="20" t="b">
        <v>0</v>
      </c>
      <c r="M15" s="3"/>
    </row>
    <row r="16" spans="1:13" x14ac:dyDescent="0.3">
      <c r="A16">
        <v>191680</v>
      </c>
      <c r="B16" t="s">
        <v>124</v>
      </c>
      <c r="C16" s="15">
        <v>21685.14</v>
      </c>
      <c r="D16" s="21">
        <v>46060</v>
      </c>
      <c r="E16" t="s">
        <v>217</v>
      </c>
      <c r="G16"/>
      <c r="H16"/>
      <c r="I16" s="61"/>
      <c r="J16"/>
      <c r="K16" s="20" t="b">
        <v>0</v>
      </c>
      <c r="M16" s="3"/>
    </row>
    <row r="17" spans="1:13" x14ac:dyDescent="0.3">
      <c r="A17">
        <v>191679</v>
      </c>
      <c r="B17" t="s">
        <v>124</v>
      </c>
      <c r="C17" s="15">
        <v>8042</v>
      </c>
      <c r="E17" t="s">
        <v>217</v>
      </c>
      <c r="F17" s="21"/>
      <c r="H17" s="24"/>
      <c r="K17" s="20" t="b">
        <v>0</v>
      </c>
      <c r="M17" s="21"/>
    </row>
    <row r="18" spans="1:13" x14ac:dyDescent="0.3">
      <c r="A18">
        <v>191851</v>
      </c>
      <c r="B18" t="s">
        <v>233</v>
      </c>
      <c r="C18" s="15">
        <v>4408.8599999999997</v>
      </c>
      <c r="D18" s="21">
        <v>46065</v>
      </c>
      <c r="E18" t="s">
        <v>217</v>
      </c>
      <c r="F18" s="21"/>
      <c r="H18" s="24"/>
      <c r="K18" s="20" t="b">
        <v>0</v>
      </c>
      <c r="M18" s="21"/>
    </row>
    <row r="19" spans="1:13" x14ac:dyDescent="0.3">
      <c r="A19">
        <v>191699</v>
      </c>
      <c r="B19" t="s">
        <v>234</v>
      </c>
      <c r="C19" s="15">
        <v>5362.35</v>
      </c>
      <c r="D19" s="21">
        <v>46060</v>
      </c>
      <c r="E19" t="s">
        <v>217</v>
      </c>
      <c r="F19" s="21"/>
      <c r="H19" s="24"/>
      <c r="K19" s="20" t="b">
        <v>0</v>
      </c>
      <c r="M19" s="21"/>
    </row>
    <row r="20" spans="1:13" x14ac:dyDescent="0.3">
      <c r="A20">
        <v>191951</v>
      </c>
      <c r="B20" t="s">
        <v>234</v>
      </c>
      <c r="C20" s="15">
        <v>3707.32</v>
      </c>
      <c r="D20" s="21">
        <v>46067</v>
      </c>
      <c r="E20" t="s">
        <v>217</v>
      </c>
      <c r="F20" s="21"/>
      <c r="H20" s="24"/>
      <c r="K20" s="20" t="b">
        <v>0</v>
      </c>
      <c r="M20" s="21"/>
    </row>
    <row r="21" spans="1:13" x14ac:dyDescent="0.3">
      <c r="A21">
        <v>191538</v>
      </c>
      <c r="B21" t="s">
        <v>235</v>
      </c>
      <c r="C21" s="15">
        <v>14038.06</v>
      </c>
      <c r="D21" s="21">
        <v>46057</v>
      </c>
      <c r="E21" t="s">
        <v>217</v>
      </c>
      <c r="F21" s="21"/>
      <c r="H21" s="24"/>
      <c r="K21" s="20" t="b">
        <v>0</v>
      </c>
      <c r="L21" t="s">
        <v>236</v>
      </c>
      <c r="M21" s="21"/>
    </row>
    <row r="22" spans="1:13" x14ac:dyDescent="0.3">
      <c r="A22">
        <v>191752</v>
      </c>
      <c r="B22" t="s">
        <v>60</v>
      </c>
      <c r="C22" s="15">
        <v>3929.34</v>
      </c>
      <c r="D22" s="21">
        <v>46063</v>
      </c>
      <c r="E22" t="s">
        <v>217</v>
      </c>
      <c r="F22" s="21"/>
      <c r="H22" s="24"/>
      <c r="K22" s="20" t="b">
        <v>0</v>
      </c>
      <c r="M22" s="21"/>
    </row>
    <row r="23" spans="1:13" x14ac:dyDescent="0.3">
      <c r="A23">
        <v>191595</v>
      </c>
      <c r="B23" t="s">
        <v>60</v>
      </c>
      <c r="C23" s="15">
        <v>1586.13</v>
      </c>
      <c r="D23" s="21">
        <v>46058</v>
      </c>
      <c r="E23" t="s">
        <v>217</v>
      </c>
      <c r="F23" s="21"/>
      <c r="H23" s="24"/>
      <c r="K23" s="20" t="b">
        <v>0</v>
      </c>
      <c r="M23" s="21"/>
    </row>
    <row r="24" spans="1:13" x14ac:dyDescent="0.3">
      <c r="A24">
        <v>191855</v>
      </c>
      <c r="B24" t="s">
        <v>237</v>
      </c>
      <c r="C24" s="15">
        <v>12004.5</v>
      </c>
      <c r="D24" s="21">
        <v>46065</v>
      </c>
      <c r="E24" t="s">
        <v>217</v>
      </c>
      <c r="K24" s="20" t="b">
        <v>0</v>
      </c>
      <c r="M24" s="21"/>
    </row>
    <row r="25" spans="1:13" x14ac:dyDescent="0.3">
      <c r="A25">
        <v>191656</v>
      </c>
      <c r="B25" t="s">
        <v>238</v>
      </c>
      <c r="C25" s="15">
        <v>1737</v>
      </c>
      <c r="D25" s="21">
        <v>46059</v>
      </c>
      <c r="E25" t="s">
        <v>217</v>
      </c>
      <c r="K25" s="20" t="b">
        <v>0</v>
      </c>
      <c r="M25" s="21"/>
    </row>
    <row r="26" spans="1:13" x14ac:dyDescent="0.3">
      <c r="A26">
        <v>191860</v>
      </c>
      <c r="B26" t="s">
        <v>128</v>
      </c>
      <c r="C26" s="15">
        <v>2695</v>
      </c>
      <c r="D26" s="21">
        <v>46065</v>
      </c>
      <c r="E26" t="s">
        <v>217</v>
      </c>
      <c r="F26" s="21"/>
      <c r="H26" s="24"/>
      <c r="K26" s="20" t="b">
        <v>0</v>
      </c>
      <c r="M26" s="21"/>
    </row>
    <row r="27" spans="1:13" x14ac:dyDescent="0.3">
      <c r="A27">
        <v>191600</v>
      </c>
      <c r="B27" t="s">
        <v>239</v>
      </c>
      <c r="C27" s="15">
        <v>11815.47</v>
      </c>
      <c r="D27" s="21">
        <v>46065</v>
      </c>
      <c r="E27" t="s">
        <v>217</v>
      </c>
      <c r="F27" s="21"/>
      <c r="H27" s="24"/>
      <c r="K27" s="20" t="b">
        <v>0</v>
      </c>
      <c r="M27" s="21"/>
    </row>
    <row r="28" spans="1:13" x14ac:dyDescent="0.3">
      <c r="A28">
        <v>191604</v>
      </c>
      <c r="B28" t="s">
        <v>111</v>
      </c>
      <c r="C28" s="15">
        <v>6605.8</v>
      </c>
      <c r="D28" s="21">
        <v>46058</v>
      </c>
      <c r="E28" t="s">
        <v>217</v>
      </c>
      <c r="F28" s="21"/>
      <c r="H28" s="24"/>
      <c r="K28" s="20" t="b">
        <v>0</v>
      </c>
      <c r="M28" s="21"/>
    </row>
    <row r="29" spans="1:13" x14ac:dyDescent="0.3">
      <c r="A29">
        <v>191847</v>
      </c>
      <c r="B29" t="s">
        <v>240</v>
      </c>
      <c r="C29" s="15">
        <v>73111.8</v>
      </c>
      <c r="D29" s="21">
        <v>46065</v>
      </c>
      <c r="E29" t="s">
        <v>217</v>
      </c>
      <c r="F29" s="21"/>
      <c r="H29" s="24"/>
      <c r="K29" s="20" t="b">
        <v>0</v>
      </c>
      <c r="M29" s="21"/>
    </row>
    <row r="30" spans="1:13" x14ac:dyDescent="0.3">
      <c r="A30">
        <v>191631</v>
      </c>
      <c r="B30" t="s">
        <v>112</v>
      </c>
      <c r="C30" s="15">
        <v>2048</v>
      </c>
      <c r="D30" s="21">
        <v>46059</v>
      </c>
      <c r="E30" t="s">
        <v>217</v>
      </c>
      <c r="F30" s="21"/>
      <c r="H30" s="24"/>
      <c r="K30" s="20" t="b">
        <v>0</v>
      </c>
      <c r="M30" s="21"/>
    </row>
    <row r="31" spans="1:13" x14ac:dyDescent="0.3">
      <c r="A31">
        <v>191484</v>
      </c>
      <c r="B31" t="s">
        <v>36</v>
      </c>
      <c r="C31" s="15">
        <v>28215.55</v>
      </c>
      <c r="E31" t="s">
        <v>217</v>
      </c>
      <c r="F31" s="21"/>
      <c r="H31" s="24"/>
      <c r="K31" s="20" t="b">
        <v>0</v>
      </c>
      <c r="L31" t="s">
        <v>241</v>
      </c>
      <c r="M31" s="21"/>
    </row>
    <row r="32" spans="1:13" x14ac:dyDescent="0.3">
      <c r="A32">
        <v>191786</v>
      </c>
      <c r="B32" t="s">
        <v>67</v>
      </c>
      <c r="C32" s="15">
        <v>9627.14</v>
      </c>
      <c r="D32" s="21">
        <v>46064</v>
      </c>
      <c r="E32" t="s">
        <v>217</v>
      </c>
      <c r="F32" s="21"/>
      <c r="H32" s="24"/>
      <c r="K32" s="20" t="b">
        <v>0</v>
      </c>
      <c r="L32" t="s">
        <v>236</v>
      </c>
      <c r="M32" s="21"/>
    </row>
    <row r="33" spans="1:13" x14ac:dyDescent="0.3">
      <c r="A33">
        <v>191580</v>
      </c>
      <c r="B33" t="s">
        <v>242</v>
      </c>
      <c r="C33" s="15">
        <v>22190.02</v>
      </c>
      <c r="D33" s="21">
        <v>46059</v>
      </c>
      <c r="E33" t="s">
        <v>217</v>
      </c>
      <c r="F33" s="21"/>
      <c r="H33" s="24"/>
      <c r="K33" s="20" t="b">
        <v>0</v>
      </c>
      <c r="L33" t="s">
        <v>236</v>
      </c>
      <c r="M33" s="21"/>
    </row>
    <row r="34" spans="1:13" x14ac:dyDescent="0.3">
      <c r="A34">
        <v>191811</v>
      </c>
      <c r="B34" t="s">
        <v>243</v>
      </c>
      <c r="C34" s="15">
        <v>2666</v>
      </c>
      <c r="D34" s="21">
        <v>46064</v>
      </c>
      <c r="E34" t="s">
        <v>217</v>
      </c>
      <c r="F34" s="21"/>
      <c r="H34" s="24"/>
      <c r="K34" s="20" t="b">
        <v>0</v>
      </c>
      <c r="M34" s="21"/>
    </row>
    <row r="35" spans="1:13" x14ac:dyDescent="0.3">
      <c r="A35">
        <v>191925</v>
      </c>
      <c r="B35" t="s">
        <v>244</v>
      </c>
      <c r="C35" s="15">
        <v>2488</v>
      </c>
      <c r="D35" s="21">
        <v>46066</v>
      </c>
      <c r="E35" t="s">
        <v>217</v>
      </c>
      <c r="F35" s="21"/>
      <c r="H35" s="24"/>
      <c r="K35" s="20" t="b">
        <v>0</v>
      </c>
      <c r="M35" s="21"/>
    </row>
    <row r="36" spans="1:13" x14ac:dyDescent="0.3">
      <c r="A36">
        <v>191674</v>
      </c>
      <c r="B36" t="s">
        <v>245</v>
      </c>
      <c r="C36" s="15">
        <v>21976.59</v>
      </c>
      <c r="D36" s="21">
        <v>46060</v>
      </c>
      <c r="E36" t="s">
        <v>217</v>
      </c>
      <c r="F36" s="21"/>
      <c r="H36" s="24"/>
      <c r="K36" s="20" t="b">
        <v>0</v>
      </c>
      <c r="L36" t="s">
        <v>236</v>
      </c>
      <c r="M36" s="21"/>
    </row>
    <row r="37" spans="1:13" x14ac:dyDescent="0.3">
      <c r="A37">
        <v>191629</v>
      </c>
      <c r="B37" t="s">
        <v>246</v>
      </c>
      <c r="C37" s="15">
        <v>2734.91</v>
      </c>
      <c r="D37" s="21">
        <v>46059</v>
      </c>
      <c r="E37" t="s">
        <v>217</v>
      </c>
      <c r="F37" s="21"/>
      <c r="H37" s="24"/>
      <c r="K37" s="20" t="b">
        <v>0</v>
      </c>
      <c r="M37" s="21"/>
    </row>
    <row r="38" spans="1:13" x14ac:dyDescent="0.3">
      <c r="A38">
        <v>191946</v>
      </c>
      <c r="B38" t="s">
        <v>246</v>
      </c>
      <c r="C38" s="15">
        <v>1757.46</v>
      </c>
      <c r="D38" s="21">
        <v>46067</v>
      </c>
      <c r="E38" t="s">
        <v>217</v>
      </c>
      <c r="F38" s="21"/>
      <c r="H38" s="24"/>
      <c r="K38" s="20" t="b">
        <v>0</v>
      </c>
      <c r="M38" s="21"/>
    </row>
    <row r="39" spans="1:13" x14ac:dyDescent="0.3">
      <c r="A39">
        <v>191745</v>
      </c>
      <c r="B39" t="s">
        <v>227</v>
      </c>
      <c r="C39" s="15">
        <v>2118</v>
      </c>
      <c r="D39" s="21">
        <v>46063</v>
      </c>
      <c r="E39" t="s">
        <v>217</v>
      </c>
      <c r="F39"/>
      <c r="G39"/>
      <c r="H39"/>
      <c r="I39"/>
      <c r="J39"/>
      <c r="K39" s="20" t="b">
        <v>0</v>
      </c>
      <c r="M39"/>
    </row>
    <row r="40" spans="1:13" x14ac:dyDescent="0.3">
      <c r="A40">
        <v>191807</v>
      </c>
      <c r="B40" t="s">
        <v>229</v>
      </c>
      <c r="C40" s="15">
        <v>2238.64</v>
      </c>
      <c r="D40" s="21">
        <v>46064</v>
      </c>
      <c r="E40" t="s">
        <v>217</v>
      </c>
      <c r="F40"/>
      <c r="G40"/>
      <c r="H40"/>
      <c r="I40"/>
      <c r="J40"/>
      <c r="K40" s="20" t="b">
        <v>0</v>
      </c>
      <c r="M40"/>
    </row>
    <row r="41" spans="1:13" x14ac:dyDescent="0.3">
      <c r="A41">
        <v>191958</v>
      </c>
      <c r="B41" t="s">
        <v>230</v>
      </c>
      <c r="C41" s="15">
        <v>4890.0200000000004</v>
      </c>
      <c r="D41" s="21">
        <v>46067</v>
      </c>
      <c r="E41" t="s">
        <v>217</v>
      </c>
      <c r="F41"/>
      <c r="G41"/>
      <c r="H41"/>
      <c r="I41"/>
      <c r="J41"/>
      <c r="K41" s="20" t="b">
        <v>0</v>
      </c>
      <c r="M41"/>
    </row>
    <row r="42" spans="1:13" x14ac:dyDescent="0.3">
      <c r="A42">
        <v>191516</v>
      </c>
      <c r="B42" t="s">
        <v>231</v>
      </c>
      <c r="C42" s="15">
        <v>7331.76</v>
      </c>
      <c r="D42" s="21">
        <v>46057</v>
      </c>
      <c r="E42" t="s">
        <v>217</v>
      </c>
      <c r="F42"/>
      <c r="G42"/>
      <c r="H42"/>
      <c r="I42"/>
      <c r="J42"/>
      <c r="K42" s="20" t="b">
        <v>0</v>
      </c>
      <c r="L42" t="s">
        <v>236</v>
      </c>
      <c r="M42"/>
    </row>
    <row r="43" spans="1:13" x14ac:dyDescent="0.3">
      <c r="A43">
        <v>191911</v>
      </c>
      <c r="B43" t="s">
        <v>232</v>
      </c>
      <c r="C43" s="15">
        <v>2125.25</v>
      </c>
      <c r="E43" t="s">
        <v>217</v>
      </c>
      <c r="F43"/>
      <c r="G43"/>
      <c r="H43"/>
      <c r="I43"/>
      <c r="J43"/>
      <c r="K43" s="20" t="b">
        <v>0</v>
      </c>
      <c r="M43"/>
    </row>
    <row r="44" spans="1:13" x14ac:dyDescent="0.3">
      <c r="A44">
        <v>191931</v>
      </c>
      <c r="B44" t="s">
        <v>167</v>
      </c>
      <c r="C44" s="15">
        <v>1926.02</v>
      </c>
      <c r="D44" s="21">
        <v>46067</v>
      </c>
      <c r="E44" t="s">
        <v>217</v>
      </c>
      <c r="F44"/>
      <c r="G44"/>
      <c r="H44"/>
      <c r="I44"/>
      <c r="J44"/>
      <c r="K44" s="20" t="b">
        <v>0</v>
      </c>
      <c r="M44"/>
    </row>
    <row r="45" spans="1:13" x14ac:dyDescent="0.3">
      <c r="A45">
        <v>191920</v>
      </c>
      <c r="B45" t="s">
        <v>124</v>
      </c>
      <c r="C45" s="15">
        <v>102426.5</v>
      </c>
      <c r="D45" s="21">
        <v>46066</v>
      </c>
      <c r="E45" t="s">
        <v>217</v>
      </c>
      <c r="F45"/>
      <c r="G45"/>
      <c r="H45"/>
      <c r="I45"/>
      <c r="J45"/>
      <c r="K45" s="20" t="b">
        <v>0</v>
      </c>
      <c r="M45"/>
    </row>
    <row r="46" spans="1:13" x14ac:dyDescent="0.3">
      <c r="A46">
        <v>191680</v>
      </c>
      <c r="B46" t="s">
        <v>124</v>
      </c>
      <c r="C46" s="15">
        <v>21685.14</v>
      </c>
      <c r="D46" s="21">
        <v>46060</v>
      </c>
      <c r="E46" t="s">
        <v>217</v>
      </c>
      <c r="F46"/>
      <c r="G46"/>
      <c r="H46"/>
      <c r="I46"/>
      <c r="J46"/>
      <c r="K46" s="20" t="b">
        <v>0</v>
      </c>
      <c r="M46"/>
    </row>
    <row r="47" spans="1:13" x14ac:dyDescent="0.3">
      <c r="A47">
        <v>191679</v>
      </c>
      <c r="B47" t="s">
        <v>124</v>
      </c>
      <c r="C47" s="15">
        <v>8042</v>
      </c>
      <c r="E47" t="s">
        <v>217</v>
      </c>
      <c r="F47"/>
      <c r="G47"/>
      <c r="H47"/>
      <c r="I47"/>
      <c r="J47"/>
      <c r="K47" s="20" t="b">
        <v>0</v>
      </c>
      <c r="M47"/>
    </row>
    <row r="48" spans="1:13" x14ac:dyDescent="0.3">
      <c r="A48">
        <v>191851</v>
      </c>
      <c r="B48" t="s">
        <v>233</v>
      </c>
      <c r="C48" s="15">
        <v>4408.8599999999997</v>
      </c>
      <c r="D48" s="21">
        <v>46065</v>
      </c>
      <c r="E48" t="s">
        <v>217</v>
      </c>
      <c r="F48"/>
      <c r="G48"/>
      <c r="H48"/>
      <c r="I48"/>
      <c r="J48"/>
      <c r="K48" s="20" t="b">
        <v>0</v>
      </c>
      <c r="M48"/>
    </row>
    <row r="49" spans="1:13" x14ac:dyDescent="0.3">
      <c r="A49">
        <v>191699</v>
      </c>
      <c r="B49" t="s">
        <v>234</v>
      </c>
      <c r="C49" s="15">
        <v>5362.35</v>
      </c>
      <c r="D49" s="21">
        <v>46060</v>
      </c>
      <c r="E49" t="s">
        <v>217</v>
      </c>
      <c r="F49"/>
      <c r="G49"/>
      <c r="H49"/>
      <c r="I49"/>
      <c r="J49"/>
      <c r="K49" s="20" t="b">
        <v>0</v>
      </c>
      <c r="M49"/>
    </row>
    <row r="50" spans="1:13" x14ac:dyDescent="0.3">
      <c r="A50">
        <v>191951</v>
      </c>
      <c r="B50" t="s">
        <v>234</v>
      </c>
      <c r="C50" s="15">
        <v>3707.32</v>
      </c>
      <c r="D50" s="21">
        <v>46067</v>
      </c>
      <c r="E50" t="s">
        <v>217</v>
      </c>
      <c r="F50"/>
      <c r="G50"/>
      <c r="H50"/>
      <c r="I50"/>
      <c r="J50"/>
      <c r="K50" s="20" t="b">
        <v>0</v>
      </c>
      <c r="M50"/>
    </row>
    <row r="51" spans="1:13" x14ac:dyDescent="0.3">
      <c r="A51">
        <v>191538</v>
      </c>
      <c r="B51" t="s">
        <v>235</v>
      </c>
      <c r="C51" s="15">
        <v>14038.06</v>
      </c>
      <c r="D51" s="21">
        <v>46057</v>
      </c>
      <c r="E51" t="s">
        <v>217</v>
      </c>
      <c r="F51"/>
      <c r="G51"/>
      <c r="H51"/>
      <c r="I51"/>
      <c r="J51"/>
      <c r="K51" s="20" t="b">
        <v>0</v>
      </c>
      <c r="L51" t="s">
        <v>236</v>
      </c>
      <c r="M51"/>
    </row>
    <row r="52" spans="1:13" x14ac:dyDescent="0.3">
      <c r="A52">
        <v>191752</v>
      </c>
      <c r="B52" t="s">
        <v>60</v>
      </c>
      <c r="C52" s="15">
        <v>3929.34</v>
      </c>
      <c r="D52" s="21">
        <v>46063</v>
      </c>
      <c r="E52" t="s">
        <v>217</v>
      </c>
      <c r="F52"/>
      <c r="G52"/>
      <c r="H52"/>
      <c r="I52"/>
      <c r="J52"/>
      <c r="K52" s="20" t="b">
        <v>0</v>
      </c>
      <c r="M52"/>
    </row>
    <row r="53" spans="1:13" x14ac:dyDescent="0.3">
      <c r="A53">
        <v>191855</v>
      </c>
      <c r="B53" t="s">
        <v>237</v>
      </c>
      <c r="C53" s="15">
        <v>12004.5</v>
      </c>
      <c r="D53" s="21">
        <v>46065</v>
      </c>
      <c r="E53" t="s">
        <v>217</v>
      </c>
      <c r="F53"/>
      <c r="G53"/>
      <c r="H53"/>
      <c r="I53"/>
      <c r="J53"/>
      <c r="K53" s="20" t="b">
        <v>0</v>
      </c>
      <c r="M53"/>
    </row>
    <row r="54" spans="1:13" x14ac:dyDescent="0.3">
      <c r="A54">
        <v>191600</v>
      </c>
      <c r="B54" t="s">
        <v>239</v>
      </c>
      <c r="C54" s="15">
        <v>11815.47</v>
      </c>
      <c r="D54" s="21">
        <v>46065</v>
      </c>
      <c r="E54" t="s">
        <v>217</v>
      </c>
      <c r="F54"/>
      <c r="G54"/>
      <c r="H54"/>
      <c r="I54"/>
      <c r="J54"/>
      <c r="K54" s="20" t="b">
        <v>0</v>
      </c>
      <c r="M54"/>
    </row>
    <row r="55" spans="1:13" x14ac:dyDescent="0.3">
      <c r="A55">
        <v>191604</v>
      </c>
      <c r="B55" t="s">
        <v>111</v>
      </c>
      <c r="C55" s="15">
        <v>6605.8</v>
      </c>
      <c r="D55" s="21">
        <v>46058</v>
      </c>
      <c r="E55" t="s">
        <v>217</v>
      </c>
      <c r="F55"/>
      <c r="G55"/>
      <c r="H55"/>
      <c r="I55"/>
      <c r="J55"/>
      <c r="K55" s="20" t="b">
        <v>0</v>
      </c>
      <c r="M55"/>
    </row>
    <row r="56" spans="1:13" x14ac:dyDescent="0.3">
      <c r="A56">
        <v>191847</v>
      </c>
      <c r="B56" t="s">
        <v>240</v>
      </c>
      <c r="C56" s="15">
        <v>73111.8</v>
      </c>
      <c r="D56" s="21">
        <v>46065</v>
      </c>
      <c r="E56" t="s">
        <v>217</v>
      </c>
      <c r="F56"/>
      <c r="G56"/>
      <c r="H56"/>
      <c r="I56"/>
      <c r="J56"/>
      <c r="K56" s="20" t="b">
        <v>0</v>
      </c>
      <c r="M56"/>
    </row>
    <row r="57" spans="1:13" x14ac:dyDescent="0.3">
      <c r="A57">
        <v>191631</v>
      </c>
      <c r="B57" t="s">
        <v>112</v>
      </c>
      <c r="C57" s="15">
        <v>2048</v>
      </c>
      <c r="D57" s="21">
        <v>46059</v>
      </c>
      <c r="E57" t="s">
        <v>217</v>
      </c>
      <c r="F57"/>
      <c r="G57"/>
      <c r="H57"/>
      <c r="I57"/>
      <c r="J57"/>
      <c r="K57" s="20" t="b">
        <v>0</v>
      </c>
      <c r="M57"/>
    </row>
    <row r="58" spans="1:13" x14ac:dyDescent="0.3">
      <c r="A58">
        <v>191484</v>
      </c>
      <c r="B58" t="s">
        <v>36</v>
      </c>
      <c r="C58" s="15">
        <v>28215.55</v>
      </c>
      <c r="E58" t="s">
        <v>217</v>
      </c>
      <c r="F58"/>
      <c r="G58"/>
      <c r="H58"/>
      <c r="I58"/>
      <c r="J58"/>
      <c r="K58" s="20" t="b">
        <v>0</v>
      </c>
      <c r="L58" t="s">
        <v>236</v>
      </c>
      <c r="M58"/>
    </row>
    <row r="59" spans="1:13" x14ac:dyDescent="0.3">
      <c r="A59">
        <v>191786</v>
      </c>
      <c r="B59" t="s">
        <v>67</v>
      </c>
      <c r="C59" s="15">
        <v>9627.14</v>
      </c>
      <c r="D59" s="21">
        <v>46064</v>
      </c>
      <c r="E59" t="s">
        <v>217</v>
      </c>
      <c r="F59"/>
      <c r="G59"/>
      <c r="H59"/>
      <c r="I59"/>
      <c r="J59"/>
      <c r="K59" s="20" t="b">
        <v>0</v>
      </c>
      <c r="M59"/>
    </row>
    <row r="60" spans="1:13" x14ac:dyDescent="0.3">
      <c r="A60">
        <v>191854</v>
      </c>
      <c r="B60" t="s">
        <v>247</v>
      </c>
      <c r="C60" s="15">
        <v>3530.78</v>
      </c>
      <c r="D60" s="21">
        <v>46065</v>
      </c>
      <c r="E60" t="s">
        <v>217</v>
      </c>
      <c r="F60"/>
      <c r="G60"/>
      <c r="H60"/>
      <c r="I60"/>
      <c r="J60"/>
      <c r="K60" s="20" t="b">
        <v>0</v>
      </c>
      <c r="M60"/>
    </row>
    <row r="61" spans="1:13" x14ac:dyDescent="0.3">
      <c r="A61">
        <v>191580</v>
      </c>
      <c r="B61" t="s">
        <v>242</v>
      </c>
      <c r="C61" s="15">
        <v>22190.02</v>
      </c>
      <c r="D61" s="21">
        <v>46059</v>
      </c>
      <c r="E61" t="s">
        <v>217</v>
      </c>
      <c r="F61"/>
      <c r="G61"/>
      <c r="H61"/>
      <c r="I61"/>
      <c r="J61"/>
      <c r="K61" s="20" t="b">
        <v>0</v>
      </c>
      <c r="L61" t="s">
        <v>236</v>
      </c>
      <c r="M61"/>
    </row>
    <row r="62" spans="1:13" x14ac:dyDescent="0.3">
      <c r="A62">
        <v>191811</v>
      </c>
      <c r="B62" t="s">
        <v>243</v>
      </c>
      <c r="C62" s="15">
        <v>2666</v>
      </c>
      <c r="D62" s="21">
        <v>46064</v>
      </c>
      <c r="E62" t="s">
        <v>217</v>
      </c>
      <c r="F62"/>
      <c r="G62"/>
      <c r="H62"/>
      <c r="I62"/>
      <c r="J62"/>
      <c r="K62" s="20" t="b">
        <v>0</v>
      </c>
      <c r="M62"/>
    </row>
    <row r="63" spans="1:13" x14ac:dyDescent="0.3">
      <c r="A63">
        <v>191922</v>
      </c>
      <c r="B63" t="s">
        <v>244</v>
      </c>
      <c r="C63" s="15">
        <v>3674</v>
      </c>
      <c r="D63" s="21">
        <v>46066</v>
      </c>
      <c r="E63" t="s">
        <v>217</v>
      </c>
      <c r="F63"/>
      <c r="G63"/>
      <c r="H63"/>
      <c r="I63"/>
      <c r="J63"/>
      <c r="K63" s="20" t="b">
        <v>0</v>
      </c>
      <c r="M63"/>
    </row>
    <row r="64" spans="1:13" x14ac:dyDescent="0.3">
      <c r="A64">
        <v>191925</v>
      </c>
      <c r="B64" t="s">
        <v>244</v>
      </c>
      <c r="C64" s="15">
        <v>2488</v>
      </c>
      <c r="D64" s="21">
        <v>46066</v>
      </c>
      <c r="E64" t="s">
        <v>217</v>
      </c>
      <c r="F64"/>
      <c r="G64"/>
      <c r="H64"/>
      <c r="I64"/>
      <c r="J64"/>
      <c r="K64" s="20" t="b">
        <v>0</v>
      </c>
      <c r="M64"/>
    </row>
    <row r="65" spans="1:13" x14ac:dyDescent="0.3">
      <c r="A65">
        <v>191674</v>
      </c>
      <c r="B65" t="s">
        <v>245</v>
      </c>
      <c r="C65" s="15">
        <v>21976.59</v>
      </c>
      <c r="D65" s="21">
        <v>46060</v>
      </c>
      <c r="E65" t="s">
        <v>217</v>
      </c>
      <c r="F65"/>
      <c r="G65"/>
      <c r="H65"/>
      <c r="I65"/>
      <c r="J65"/>
      <c r="K65" s="20" t="b">
        <v>0</v>
      </c>
      <c r="L65" t="s">
        <v>236</v>
      </c>
      <c r="M65"/>
    </row>
    <row r="66" spans="1:13" x14ac:dyDescent="0.3">
      <c r="A66">
        <v>191784</v>
      </c>
      <c r="B66" t="s">
        <v>78</v>
      </c>
      <c r="C66" s="15">
        <v>2309.0700000000002</v>
      </c>
      <c r="D66" s="21">
        <v>46065</v>
      </c>
      <c r="E66" t="s">
        <v>217</v>
      </c>
      <c r="F66"/>
      <c r="G66"/>
      <c r="H66"/>
      <c r="I66"/>
      <c r="J66"/>
      <c r="K66" s="20" t="b">
        <v>0</v>
      </c>
      <c r="M66"/>
    </row>
    <row r="67" spans="1:13" x14ac:dyDescent="0.3">
      <c r="A67">
        <v>191629</v>
      </c>
      <c r="B67" t="s">
        <v>246</v>
      </c>
      <c r="C67" s="15">
        <v>2734.91</v>
      </c>
      <c r="D67" s="21">
        <v>46059</v>
      </c>
      <c r="E67" t="s">
        <v>217</v>
      </c>
      <c r="F67"/>
      <c r="G67"/>
      <c r="H67"/>
      <c r="I67"/>
      <c r="J67"/>
      <c r="K67" s="20" t="b">
        <v>0</v>
      </c>
      <c r="M67"/>
    </row>
    <row r="68" spans="1:13" x14ac:dyDescent="0.3">
      <c r="A68">
        <v>191946</v>
      </c>
      <c r="B68" t="s">
        <v>246</v>
      </c>
      <c r="C68" s="15">
        <v>1757.46</v>
      </c>
      <c r="D68" s="21">
        <v>46067</v>
      </c>
      <c r="E68" t="s">
        <v>217</v>
      </c>
      <c r="F68"/>
      <c r="G68"/>
      <c r="H68"/>
      <c r="I68"/>
      <c r="J68"/>
      <c r="K68" s="20" t="b">
        <v>0</v>
      </c>
      <c r="M68"/>
    </row>
    <row r="69" spans="1:13" x14ac:dyDescent="0.3">
      <c r="C69" s="1"/>
      <c r="F69" s="21"/>
      <c r="H69" s="24"/>
      <c r="K69" s="20" t="b">
        <v>0</v>
      </c>
      <c r="M69" s="21"/>
    </row>
    <row r="72" spans="1:13" x14ac:dyDescent="0.3">
      <c r="B72" t="s">
        <v>77</v>
      </c>
      <c r="C72" s="2">
        <f>SUM(C4:C71)</f>
        <v>791192.27000000014</v>
      </c>
    </row>
    <row r="76" spans="1:13" x14ac:dyDescent="0.3">
      <c r="A76" s="77">
        <v>191673</v>
      </c>
      <c r="B76" s="78" t="s">
        <v>49</v>
      </c>
      <c r="C76" s="79">
        <v>3194.2</v>
      </c>
      <c r="D76" s="80">
        <v>46060</v>
      </c>
      <c r="E76" s="78" t="s">
        <v>217</v>
      </c>
      <c r="F76" s="81"/>
      <c r="G76" s="78"/>
      <c r="H76" s="78"/>
      <c r="I76" s="82"/>
      <c r="J76" s="78" t="s">
        <v>81</v>
      </c>
      <c r="K76" s="83" t="b">
        <v>0</v>
      </c>
      <c r="L76" s="78"/>
      <c r="M76" s="84"/>
    </row>
    <row r="77" spans="1:13" x14ac:dyDescent="0.3">
      <c r="A77" s="85">
        <v>191835</v>
      </c>
      <c r="B77" s="86" t="s">
        <v>248</v>
      </c>
      <c r="C77" s="87">
        <v>1511.44</v>
      </c>
      <c r="D77" s="88">
        <v>46065</v>
      </c>
      <c r="E77" s="86" t="s">
        <v>217</v>
      </c>
      <c r="F77" s="89"/>
      <c r="G77" s="86"/>
      <c r="H77" s="86"/>
      <c r="I77" s="90"/>
      <c r="J77" s="86" t="s">
        <v>81</v>
      </c>
      <c r="K77" s="91" t="b">
        <v>0</v>
      </c>
      <c r="L77" s="86"/>
      <c r="M77" s="92"/>
    </row>
    <row r="78" spans="1:13" x14ac:dyDescent="0.3">
      <c r="A78" s="77">
        <v>191566</v>
      </c>
      <c r="B78" s="78" t="s">
        <v>249</v>
      </c>
      <c r="C78" s="79">
        <v>11839.88</v>
      </c>
      <c r="D78" s="80">
        <v>46064</v>
      </c>
      <c r="E78" s="78" t="s">
        <v>217</v>
      </c>
      <c r="F78" s="81"/>
      <c r="G78" s="78"/>
      <c r="H78" s="78"/>
      <c r="I78" s="78"/>
      <c r="J78" s="78" t="s">
        <v>81</v>
      </c>
      <c r="K78" s="83" t="b">
        <v>0</v>
      </c>
      <c r="L78" s="78"/>
      <c r="M78" s="84"/>
    </row>
    <row r="79" spans="1:13" x14ac:dyDescent="0.3">
      <c r="A79" s="85">
        <v>191553</v>
      </c>
      <c r="B79" s="86" t="s">
        <v>53</v>
      </c>
      <c r="C79" s="87">
        <v>3222</v>
      </c>
      <c r="D79" s="88">
        <v>46057</v>
      </c>
      <c r="E79" s="86" t="s">
        <v>217</v>
      </c>
      <c r="F79" s="89"/>
      <c r="G79" s="86"/>
      <c r="H79" s="86"/>
      <c r="I79" s="86"/>
      <c r="J79" s="86" t="s">
        <v>81</v>
      </c>
      <c r="K79" s="91" t="b">
        <v>0</v>
      </c>
      <c r="L79" s="86"/>
      <c r="M79" s="92"/>
    </row>
    <row r="80" spans="1:13" x14ac:dyDescent="0.3">
      <c r="A80" s="77">
        <v>191681</v>
      </c>
      <c r="B80" s="78" t="s">
        <v>53</v>
      </c>
      <c r="C80" s="79">
        <v>2860</v>
      </c>
      <c r="D80" s="80">
        <v>46060</v>
      </c>
      <c r="E80" s="78" t="s">
        <v>217</v>
      </c>
      <c r="F80" s="81"/>
      <c r="G80" s="78"/>
      <c r="H80" s="78"/>
      <c r="I80" s="82"/>
      <c r="J80" s="78" t="s">
        <v>81</v>
      </c>
      <c r="K80" s="83" t="b">
        <v>0</v>
      </c>
      <c r="L80" s="78"/>
      <c r="M80" s="84"/>
    </row>
    <row r="81" spans="1:13" x14ac:dyDescent="0.3">
      <c r="A81" s="85">
        <v>191594</v>
      </c>
      <c r="B81" s="86" t="s">
        <v>250</v>
      </c>
      <c r="C81" s="87">
        <v>2064</v>
      </c>
      <c r="D81" s="88">
        <v>46058</v>
      </c>
      <c r="E81" s="86" t="s">
        <v>217</v>
      </c>
      <c r="F81" s="88"/>
      <c r="G81" s="93"/>
      <c r="H81" s="94"/>
      <c r="I81" s="95"/>
      <c r="J81" s="96" t="s">
        <v>81</v>
      </c>
      <c r="K81" s="91" t="b">
        <v>0</v>
      </c>
      <c r="L81" s="86"/>
      <c r="M81" s="97"/>
    </row>
    <row r="82" spans="1:13" x14ac:dyDescent="0.3">
      <c r="A82" s="77">
        <v>191646</v>
      </c>
      <c r="B82" s="78" t="s">
        <v>124</v>
      </c>
      <c r="C82" s="79">
        <v>1594</v>
      </c>
      <c r="D82" s="80">
        <v>46059</v>
      </c>
      <c r="E82" s="78" t="s">
        <v>217</v>
      </c>
      <c r="F82" s="80"/>
      <c r="G82" s="98"/>
      <c r="H82" s="99"/>
      <c r="I82" s="100"/>
      <c r="J82" s="101" t="s">
        <v>81</v>
      </c>
      <c r="K82" s="83" t="b">
        <v>0</v>
      </c>
      <c r="L82" s="78"/>
      <c r="M82" s="102"/>
    </row>
    <row r="83" spans="1:13" x14ac:dyDescent="0.3">
      <c r="A83" s="85">
        <v>191644</v>
      </c>
      <c r="B83" s="86" t="s">
        <v>251</v>
      </c>
      <c r="C83" s="87">
        <v>4904</v>
      </c>
      <c r="D83" s="88">
        <v>46059</v>
      </c>
      <c r="E83" s="86" t="s">
        <v>217</v>
      </c>
      <c r="F83" s="88"/>
      <c r="G83" s="93"/>
      <c r="H83" s="94"/>
      <c r="I83" s="95"/>
      <c r="J83" s="96" t="s">
        <v>81</v>
      </c>
      <c r="K83" s="91" t="b">
        <v>0</v>
      </c>
      <c r="L83" s="86"/>
      <c r="M83" s="97"/>
    </row>
    <row r="84" spans="1:13" x14ac:dyDescent="0.3">
      <c r="A84" s="77">
        <v>191510</v>
      </c>
      <c r="B84" s="78" t="s">
        <v>86</v>
      </c>
      <c r="C84" s="79">
        <v>11616</v>
      </c>
      <c r="D84" s="80">
        <v>46056</v>
      </c>
      <c r="E84" s="78" t="s">
        <v>217</v>
      </c>
      <c r="F84" s="80"/>
      <c r="G84" s="103"/>
      <c r="H84" s="99"/>
      <c r="I84" s="100"/>
      <c r="J84" s="101" t="s">
        <v>81</v>
      </c>
      <c r="K84" s="83" t="b">
        <v>0</v>
      </c>
      <c r="L84" s="78"/>
      <c r="M84" s="102"/>
    </row>
    <row r="85" spans="1:13" x14ac:dyDescent="0.3">
      <c r="A85" s="85">
        <v>191952</v>
      </c>
      <c r="B85" s="86" t="s">
        <v>252</v>
      </c>
      <c r="C85" s="87">
        <v>3012</v>
      </c>
      <c r="D85" s="88">
        <v>46067</v>
      </c>
      <c r="E85" s="86" t="s">
        <v>217</v>
      </c>
      <c r="F85" s="88"/>
      <c r="G85" s="93"/>
      <c r="H85" s="94"/>
      <c r="I85" s="95"/>
      <c r="J85" s="96" t="s">
        <v>81</v>
      </c>
      <c r="K85" s="91" t="b">
        <v>0</v>
      </c>
      <c r="L85" s="86"/>
      <c r="M85" s="97"/>
    </row>
    <row r="86" spans="1:13" ht="15.6" x14ac:dyDescent="0.3">
      <c r="A86" s="77">
        <v>191550</v>
      </c>
      <c r="B86" s="78" t="s">
        <v>253</v>
      </c>
      <c r="C86" s="79">
        <v>2388</v>
      </c>
      <c r="D86" s="80">
        <v>46058</v>
      </c>
      <c r="E86" s="78" t="s">
        <v>217</v>
      </c>
      <c r="F86" s="80"/>
      <c r="G86" s="104"/>
      <c r="H86" s="99"/>
      <c r="I86" s="100"/>
      <c r="J86" s="101" t="s">
        <v>81</v>
      </c>
      <c r="K86" s="83" t="b">
        <v>0</v>
      </c>
      <c r="L86" s="78"/>
      <c r="M86" s="102"/>
    </row>
    <row r="87" spans="1:13" x14ac:dyDescent="0.3">
      <c r="A87" s="85">
        <v>191866</v>
      </c>
      <c r="B87" s="86" t="s">
        <v>253</v>
      </c>
      <c r="C87" s="87">
        <v>1770</v>
      </c>
      <c r="D87" s="88">
        <v>46066</v>
      </c>
      <c r="E87" s="86" t="s">
        <v>217</v>
      </c>
      <c r="F87" s="88"/>
      <c r="G87" s="93"/>
      <c r="H87" s="94"/>
      <c r="I87" s="95"/>
      <c r="J87" s="96" t="s">
        <v>81</v>
      </c>
      <c r="K87" s="91" t="b">
        <v>0</v>
      </c>
      <c r="L87" s="86"/>
      <c r="M87" s="97"/>
    </row>
    <row r="88" spans="1:13" x14ac:dyDescent="0.3">
      <c r="A88" s="77">
        <v>191603</v>
      </c>
      <c r="B88" s="78" t="s">
        <v>254</v>
      </c>
      <c r="C88" s="79">
        <v>2196.1</v>
      </c>
      <c r="D88" s="80">
        <v>46063</v>
      </c>
      <c r="E88" s="78" t="s">
        <v>217</v>
      </c>
      <c r="F88" s="80"/>
      <c r="G88" s="105"/>
      <c r="H88" s="99"/>
      <c r="I88" s="100"/>
      <c r="J88" s="101" t="s">
        <v>81</v>
      </c>
      <c r="K88" s="83" t="b">
        <v>0</v>
      </c>
      <c r="L88" s="78"/>
      <c r="M88" s="102"/>
    </row>
    <row r="89" spans="1:13" x14ac:dyDescent="0.3">
      <c r="A89" s="85">
        <v>191802</v>
      </c>
      <c r="B89" s="86" t="s">
        <v>101</v>
      </c>
      <c r="C89" s="87">
        <v>2233</v>
      </c>
      <c r="D89" s="88">
        <v>46064</v>
      </c>
      <c r="E89" s="86" t="s">
        <v>217</v>
      </c>
      <c r="F89" s="88"/>
      <c r="G89" s="93"/>
      <c r="H89" s="94"/>
      <c r="I89" s="95"/>
      <c r="J89" s="96" t="s">
        <v>81</v>
      </c>
      <c r="K89" s="91" t="b">
        <v>0</v>
      </c>
      <c r="L89" s="86"/>
      <c r="M89" s="97"/>
    </row>
    <row r="90" spans="1:13" x14ac:dyDescent="0.3">
      <c r="A90" s="77">
        <v>191548</v>
      </c>
      <c r="B90" s="78" t="s">
        <v>255</v>
      </c>
      <c r="C90" s="79">
        <v>1632</v>
      </c>
      <c r="D90" s="80">
        <v>46060</v>
      </c>
      <c r="E90" s="78" t="s">
        <v>217</v>
      </c>
      <c r="F90" s="80"/>
      <c r="G90" s="103"/>
      <c r="H90" s="99"/>
      <c r="I90" s="100"/>
      <c r="J90" s="101" t="s">
        <v>81</v>
      </c>
      <c r="K90" s="83" t="b">
        <v>0</v>
      </c>
      <c r="L90" s="78"/>
      <c r="M90" s="102"/>
    </row>
    <row r="91" spans="1:13" x14ac:dyDescent="0.3">
      <c r="A91" s="85">
        <v>191739</v>
      </c>
      <c r="B91" s="86" t="s">
        <v>256</v>
      </c>
      <c r="C91" s="87">
        <v>3566.55</v>
      </c>
      <c r="D91" s="88">
        <v>46064</v>
      </c>
      <c r="E91" s="86" t="s">
        <v>217</v>
      </c>
      <c r="F91" s="88"/>
      <c r="G91" s="93"/>
      <c r="H91" s="94"/>
      <c r="I91" s="95"/>
      <c r="J91" s="96" t="s">
        <v>81</v>
      </c>
      <c r="K91" s="91" t="b">
        <v>0</v>
      </c>
      <c r="L91" s="86"/>
      <c r="M91" s="97"/>
    </row>
    <row r="92" spans="1:13" x14ac:dyDescent="0.3">
      <c r="A92" s="77">
        <v>191948</v>
      </c>
      <c r="B92" s="78" t="s">
        <v>257</v>
      </c>
      <c r="C92" s="79">
        <v>14600</v>
      </c>
      <c r="D92" s="80">
        <v>46067</v>
      </c>
      <c r="E92" s="78" t="s">
        <v>217</v>
      </c>
      <c r="F92" s="80"/>
      <c r="G92" s="98"/>
      <c r="H92" s="99"/>
      <c r="I92" s="100"/>
      <c r="J92" s="101" t="s">
        <v>81</v>
      </c>
      <c r="K92" s="83" t="b">
        <v>0</v>
      </c>
      <c r="L92" s="78"/>
      <c r="M92" s="102"/>
    </row>
    <row r="93" spans="1:13" x14ac:dyDescent="0.3">
      <c r="A93" s="85">
        <v>191518</v>
      </c>
      <c r="B93" s="86" t="s">
        <v>258</v>
      </c>
      <c r="C93" s="87">
        <v>2821.33</v>
      </c>
      <c r="D93" s="88">
        <v>46064</v>
      </c>
      <c r="E93" s="86" t="s">
        <v>217</v>
      </c>
      <c r="F93" s="88"/>
      <c r="G93" s="93"/>
      <c r="H93" s="94"/>
      <c r="I93" s="95"/>
      <c r="J93" s="96" t="s">
        <v>81</v>
      </c>
      <c r="K93" s="91" t="b">
        <v>0</v>
      </c>
      <c r="L93" s="86"/>
      <c r="M93" s="97"/>
    </row>
    <row r="94" spans="1:13" x14ac:dyDescent="0.3">
      <c r="A94" s="77">
        <v>191963</v>
      </c>
      <c r="B94" s="78" t="s">
        <v>259</v>
      </c>
      <c r="C94" s="79">
        <v>2306</v>
      </c>
      <c r="D94" s="80">
        <v>46067</v>
      </c>
      <c r="E94" s="78" t="s">
        <v>217</v>
      </c>
      <c r="F94" s="80"/>
      <c r="G94" s="98"/>
      <c r="H94" s="99"/>
      <c r="I94" s="100"/>
      <c r="J94" s="101" t="s">
        <v>81</v>
      </c>
      <c r="K94" s="83" t="b">
        <v>0</v>
      </c>
      <c r="L94" s="78"/>
      <c r="M94" s="102"/>
    </row>
    <row r="95" spans="1:13" x14ac:dyDescent="0.3">
      <c r="A95" s="85">
        <v>191831</v>
      </c>
      <c r="B95" s="86" t="s">
        <v>260</v>
      </c>
      <c r="C95" s="87">
        <v>1780</v>
      </c>
      <c r="D95" s="88">
        <v>46065</v>
      </c>
      <c r="E95" s="86" t="s">
        <v>217</v>
      </c>
      <c r="F95" s="88"/>
      <c r="G95" s="106"/>
      <c r="H95" s="94"/>
      <c r="I95" s="95"/>
      <c r="J95" s="96" t="s">
        <v>81</v>
      </c>
      <c r="K95" s="91" t="b">
        <v>0</v>
      </c>
      <c r="L95" s="86"/>
      <c r="M95" s="97"/>
    </row>
    <row r="96" spans="1:13" x14ac:dyDescent="0.3">
      <c r="A96" s="77">
        <v>191556</v>
      </c>
      <c r="B96" s="78" t="s">
        <v>261</v>
      </c>
      <c r="C96" s="79">
        <v>1627</v>
      </c>
      <c r="D96" s="80">
        <v>46065</v>
      </c>
      <c r="E96" s="78" t="s">
        <v>217</v>
      </c>
      <c r="F96" s="80"/>
      <c r="G96" s="98"/>
      <c r="H96" s="99"/>
      <c r="I96" s="100"/>
      <c r="J96" s="101" t="s">
        <v>81</v>
      </c>
      <c r="K96" s="83" t="b">
        <v>0</v>
      </c>
      <c r="L96" s="78"/>
      <c r="M96" s="102"/>
    </row>
    <row r="97" spans="1:13" x14ac:dyDescent="0.3">
      <c r="A97" s="85">
        <v>191845</v>
      </c>
      <c r="B97" s="86" t="s">
        <v>262</v>
      </c>
      <c r="C97" s="87">
        <v>5009</v>
      </c>
      <c r="D97" s="88">
        <v>46066</v>
      </c>
      <c r="E97" s="86" t="s">
        <v>217</v>
      </c>
      <c r="F97" s="88"/>
      <c r="G97" s="93"/>
      <c r="H97" s="94"/>
      <c r="I97" s="95"/>
      <c r="J97" s="96" t="s">
        <v>81</v>
      </c>
      <c r="K97" s="91" t="b">
        <v>0</v>
      </c>
      <c r="L97" s="107"/>
      <c r="M97" s="97"/>
    </row>
    <row r="98" spans="1:13" x14ac:dyDescent="0.3">
      <c r="A98" s="77">
        <v>191511</v>
      </c>
      <c r="B98" s="78" t="s">
        <v>263</v>
      </c>
      <c r="C98" s="79">
        <v>2625</v>
      </c>
      <c r="D98" s="80">
        <v>46059</v>
      </c>
      <c r="E98" s="78" t="s">
        <v>217</v>
      </c>
      <c r="F98" s="80"/>
      <c r="G98" s="98"/>
      <c r="H98" s="99"/>
      <c r="I98" s="100"/>
      <c r="J98" s="101" t="s">
        <v>81</v>
      </c>
      <c r="K98" s="83" t="b">
        <v>0</v>
      </c>
      <c r="L98" s="78"/>
      <c r="M98" s="102"/>
    </row>
    <row r="99" spans="1:13" x14ac:dyDescent="0.3">
      <c r="A99" s="85">
        <v>191551</v>
      </c>
      <c r="B99" s="86" t="s">
        <v>264</v>
      </c>
      <c r="C99" s="87">
        <v>1608.48</v>
      </c>
      <c r="D99" s="88">
        <v>46058</v>
      </c>
      <c r="E99" s="86" t="s">
        <v>217</v>
      </c>
      <c r="F99" s="88"/>
      <c r="G99" s="93"/>
      <c r="H99" s="94"/>
      <c r="I99" s="95"/>
      <c r="J99" s="96" t="s">
        <v>81</v>
      </c>
      <c r="K99" s="91" t="b">
        <v>0</v>
      </c>
      <c r="L99" s="86"/>
      <c r="M99" s="97"/>
    </row>
    <row r="100" spans="1:13" x14ac:dyDescent="0.3">
      <c r="A100" s="77">
        <v>191675</v>
      </c>
      <c r="B100" s="78" t="s">
        <v>265</v>
      </c>
      <c r="C100" s="79">
        <v>2496</v>
      </c>
      <c r="D100" s="80">
        <v>46063</v>
      </c>
      <c r="E100" s="78" t="s">
        <v>217</v>
      </c>
      <c r="F100" s="81"/>
      <c r="G100" s="98"/>
      <c r="H100" s="108"/>
      <c r="I100" s="100"/>
      <c r="J100" s="101" t="s">
        <v>81</v>
      </c>
      <c r="K100" s="83" t="b">
        <v>0</v>
      </c>
      <c r="L100" s="78"/>
      <c r="M100" s="102"/>
    </row>
    <row r="101" spans="1:13" x14ac:dyDescent="0.3">
      <c r="A101" s="85">
        <v>191547</v>
      </c>
      <c r="B101" s="86" t="s">
        <v>266</v>
      </c>
      <c r="C101" s="87">
        <v>1959.95</v>
      </c>
      <c r="D101" s="88">
        <v>46057</v>
      </c>
      <c r="E101" s="86" t="s">
        <v>217</v>
      </c>
      <c r="F101" s="88"/>
      <c r="G101" s="93"/>
      <c r="H101" s="94"/>
      <c r="I101" s="95"/>
      <c r="J101" s="96" t="s">
        <v>81</v>
      </c>
      <c r="K101" s="91" t="b">
        <v>0</v>
      </c>
      <c r="L101" s="86"/>
      <c r="M101" s="97"/>
    </row>
    <row r="102" spans="1:13" x14ac:dyDescent="0.3">
      <c r="A102" s="77">
        <v>191837</v>
      </c>
      <c r="B102" s="78" t="s">
        <v>36</v>
      </c>
      <c r="C102" s="79">
        <v>4575.18</v>
      </c>
      <c r="D102" s="80">
        <v>46065</v>
      </c>
      <c r="E102" s="78" t="s">
        <v>217</v>
      </c>
      <c r="F102" s="80"/>
      <c r="G102" s="98"/>
      <c r="H102" s="99"/>
      <c r="I102" s="100"/>
      <c r="J102" s="101" t="s">
        <v>81</v>
      </c>
      <c r="K102" s="83" t="b">
        <v>0</v>
      </c>
      <c r="L102" s="78"/>
      <c r="M102" s="102"/>
    </row>
    <row r="103" spans="1:13" x14ac:dyDescent="0.3">
      <c r="A103" s="85">
        <v>191906</v>
      </c>
      <c r="B103" s="86" t="s">
        <v>36</v>
      </c>
      <c r="C103" s="87">
        <v>1871.56</v>
      </c>
      <c r="D103" s="88">
        <v>46066</v>
      </c>
      <c r="E103" s="86" t="s">
        <v>217</v>
      </c>
      <c r="F103" s="88"/>
      <c r="G103" s="93"/>
      <c r="H103" s="94"/>
      <c r="I103" s="95"/>
      <c r="J103" s="96" t="s">
        <v>81</v>
      </c>
      <c r="K103" s="91" t="b">
        <v>0</v>
      </c>
      <c r="L103" s="86"/>
      <c r="M103" s="97"/>
    </row>
    <row r="104" spans="1:13" x14ac:dyDescent="0.3">
      <c r="A104" s="77">
        <v>191689</v>
      </c>
      <c r="B104" s="78" t="s">
        <v>70</v>
      </c>
      <c r="C104" s="79">
        <v>1820</v>
      </c>
      <c r="D104" s="80">
        <v>46060</v>
      </c>
      <c r="E104" s="78" t="s">
        <v>217</v>
      </c>
      <c r="F104" s="80"/>
      <c r="G104" s="98"/>
      <c r="H104" s="99"/>
      <c r="I104" s="100"/>
      <c r="J104" s="101" t="s">
        <v>81</v>
      </c>
      <c r="K104" s="83" t="b">
        <v>0</v>
      </c>
      <c r="L104" s="78"/>
      <c r="M104" s="102"/>
    </row>
    <row r="105" spans="1:13" x14ac:dyDescent="0.3">
      <c r="A105" s="85">
        <v>191960</v>
      </c>
      <c r="B105" s="86" t="s">
        <v>267</v>
      </c>
      <c r="C105" s="87">
        <v>5859.15</v>
      </c>
      <c r="D105" s="88">
        <v>46067</v>
      </c>
      <c r="E105" s="86" t="s">
        <v>217</v>
      </c>
      <c r="F105" s="88"/>
      <c r="G105" s="106"/>
      <c r="H105" s="94"/>
      <c r="I105" s="95"/>
      <c r="J105" s="96" t="s">
        <v>81</v>
      </c>
      <c r="K105" s="91" t="b">
        <v>0</v>
      </c>
      <c r="L105" s="86"/>
      <c r="M105" s="97"/>
    </row>
    <row r="106" spans="1:13" x14ac:dyDescent="0.3">
      <c r="A106" s="77">
        <v>191546</v>
      </c>
      <c r="B106" s="78" t="s">
        <v>247</v>
      </c>
      <c r="C106" s="79">
        <v>10664.8</v>
      </c>
      <c r="D106" s="80">
        <v>46057</v>
      </c>
      <c r="E106" s="78" t="s">
        <v>217</v>
      </c>
      <c r="F106" s="81"/>
      <c r="G106" s="98"/>
      <c r="H106" s="108"/>
      <c r="I106" s="100"/>
      <c r="J106" s="101" t="s">
        <v>81</v>
      </c>
      <c r="K106" s="83" t="b">
        <v>0</v>
      </c>
      <c r="L106" s="78"/>
      <c r="M106" s="102"/>
    </row>
    <row r="107" spans="1:13" x14ac:dyDescent="0.3">
      <c r="A107" s="85">
        <v>191535</v>
      </c>
      <c r="B107" s="86" t="s">
        <v>247</v>
      </c>
      <c r="C107" s="87">
        <v>8416.43</v>
      </c>
      <c r="D107" s="88">
        <v>46058</v>
      </c>
      <c r="E107" s="86" t="s">
        <v>217</v>
      </c>
      <c r="F107" s="88"/>
      <c r="G107" s="93"/>
      <c r="H107" s="94"/>
      <c r="I107" s="95"/>
      <c r="J107" s="96" t="s">
        <v>81</v>
      </c>
      <c r="K107" s="91" t="b">
        <v>0</v>
      </c>
      <c r="L107" s="86"/>
      <c r="M107" s="97"/>
    </row>
    <row r="108" spans="1:13" x14ac:dyDescent="0.3">
      <c r="A108" s="77">
        <v>191854</v>
      </c>
      <c r="B108" s="78" t="s">
        <v>247</v>
      </c>
      <c r="C108" s="79">
        <v>3530.78</v>
      </c>
      <c r="D108" s="80">
        <v>46065</v>
      </c>
      <c r="E108" s="78" t="s">
        <v>217</v>
      </c>
      <c r="F108" s="80"/>
      <c r="G108" s="98"/>
      <c r="H108" s="99"/>
      <c r="I108" s="100"/>
      <c r="J108" s="101" t="s">
        <v>81</v>
      </c>
      <c r="K108" s="83" t="b">
        <v>0</v>
      </c>
      <c r="L108" s="78"/>
      <c r="M108" s="102"/>
    </row>
    <row r="109" spans="1:13" x14ac:dyDescent="0.3">
      <c r="A109" s="85">
        <v>191519</v>
      </c>
      <c r="B109" s="86" t="s">
        <v>268</v>
      </c>
      <c r="C109" s="87">
        <v>2564.87</v>
      </c>
      <c r="D109" s="88">
        <v>46057</v>
      </c>
      <c r="E109" s="86" t="s">
        <v>217</v>
      </c>
      <c r="F109" s="88"/>
      <c r="G109" s="93"/>
      <c r="H109" s="94"/>
      <c r="I109" s="95"/>
      <c r="J109" s="96" t="s">
        <v>81</v>
      </c>
      <c r="K109" s="91" t="b">
        <v>0</v>
      </c>
      <c r="L109" s="86"/>
      <c r="M109" s="97"/>
    </row>
    <row r="110" spans="1:13" x14ac:dyDescent="0.3">
      <c r="A110" s="77">
        <v>191662</v>
      </c>
      <c r="B110" s="78" t="s">
        <v>269</v>
      </c>
      <c r="C110" s="79">
        <v>7115.3</v>
      </c>
      <c r="D110" s="80">
        <v>46066</v>
      </c>
      <c r="E110" s="78" t="s">
        <v>217</v>
      </c>
      <c r="F110" s="80"/>
      <c r="G110" s="98"/>
      <c r="H110" s="99"/>
      <c r="I110" s="100"/>
      <c r="J110" s="101" t="s">
        <v>81</v>
      </c>
      <c r="K110" s="83" t="b">
        <v>0</v>
      </c>
      <c r="L110" s="78"/>
      <c r="M110" s="102"/>
    </row>
    <row r="111" spans="1:13" x14ac:dyDescent="0.3">
      <c r="A111" s="85">
        <v>191636</v>
      </c>
      <c r="B111" s="86" t="s">
        <v>270</v>
      </c>
      <c r="C111" s="87">
        <v>1799</v>
      </c>
      <c r="D111" s="88">
        <v>46059</v>
      </c>
      <c r="E111" s="86" t="s">
        <v>217</v>
      </c>
      <c r="F111" s="88"/>
      <c r="G111" s="93"/>
      <c r="H111" s="94"/>
      <c r="I111" s="95"/>
      <c r="J111" s="96" t="s">
        <v>81</v>
      </c>
      <c r="K111" s="91" t="b">
        <v>0</v>
      </c>
      <c r="L111" s="86"/>
      <c r="M111" s="97"/>
    </row>
    <row r="112" spans="1:13" x14ac:dyDescent="0.3">
      <c r="A112" s="77">
        <v>191500</v>
      </c>
      <c r="B112" s="78" t="s">
        <v>242</v>
      </c>
      <c r="C112" s="79">
        <v>6047.28</v>
      </c>
      <c r="D112" s="80">
        <v>46056</v>
      </c>
      <c r="E112" s="78" t="s">
        <v>217</v>
      </c>
      <c r="F112" s="80"/>
      <c r="G112" s="98"/>
      <c r="H112" s="99"/>
      <c r="I112" s="100"/>
      <c r="J112" s="101" t="s">
        <v>81</v>
      </c>
      <c r="K112" s="83" t="b">
        <v>0</v>
      </c>
      <c r="L112" s="78"/>
      <c r="M112" s="102"/>
    </row>
    <row r="113" spans="1:13" x14ac:dyDescent="0.3">
      <c r="A113" s="85">
        <v>191583</v>
      </c>
      <c r="B113" s="86" t="s">
        <v>242</v>
      </c>
      <c r="C113" s="87">
        <v>1847</v>
      </c>
      <c r="D113" s="88">
        <v>46066</v>
      </c>
      <c r="E113" s="86" t="s">
        <v>217</v>
      </c>
      <c r="F113" s="88"/>
      <c r="G113" s="93"/>
      <c r="H113" s="94"/>
      <c r="I113" s="95"/>
      <c r="J113" s="96" t="s">
        <v>81</v>
      </c>
      <c r="K113" s="91" t="b">
        <v>0</v>
      </c>
      <c r="L113" s="86"/>
      <c r="M113" s="97"/>
    </row>
    <row r="114" spans="1:13" x14ac:dyDescent="0.3">
      <c r="A114" s="77">
        <v>191509</v>
      </c>
      <c r="B114" s="78" t="s">
        <v>271</v>
      </c>
      <c r="C114" s="79">
        <v>2436</v>
      </c>
      <c r="D114" s="80">
        <v>46057</v>
      </c>
      <c r="E114" s="78" t="s">
        <v>217</v>
      </c>
      <c r="F114" s="80"/>
      <c r="G114" s="98"/>
      <c r="H114" s="99"/>
      <c r="I114" s="100"/>
      <c r="J114" s="101" t="s">
        <v>81</v>
      </c>
      <c r="K114" s="83" t="b">
        <v>0</v>
      </c>
      <c r="L114" s="78"/>
      <c r="M114" s="102"/>
    </row>
    <row r="115" spans="1:13" x14ac:dyDescent="0.3">
      <c r="A115" s="85">
        <v>191687</v>
      </c>
      <c r="B115" s="86" t="s">
        <v>272</v>
      </c>
      <c r="C115" s="87">
        <v>8772.65</v>
      </c>
      <c r="D115" s="88">
        <v>46063</v>
      </c>
      <c r="E115" s="86" t="s">
        <v>217</v>
      </c>
      <c r="F115" s="88"/>
      <c r="G115" s="93"/>
      <c r="H115" s="94"/>
      <c r="I115" s="95"/>
      <c r="J115" s="96" t="s">
        <v>81</v>
      </c>
      <c r="K115" s="91" t="b">
        <v>0</v>
      </c>
      <c r="L115" s="86"/>
      <c r="M115" s="97"/>
    </row>
    <row r="116" spans="1:13" x14ac:dyDescent="0.3">
      <c r="A116" s="77">
        <v>191784</v>
      </c>
      <c r="B116" s="78" t="s">
        <v>78</v>
      </c>
      <c r="C116" s="79">
        <v>2309.0700000000002</v>
      </c>
      <c r="D116" s="80">
        <v>46065</v>
      </c>
      <c r="E116" s="78" t="s">
        <v>217</v>
      </c>
      <c r="F116" s="80"/>
      <c r="G116" s="98"/>
      <c r="H116" s="99"/>
      <c r="I116" s="100"/>
      <c r="J116" s="101" t="s">
        <v>81</v>
      </c>
      <c r="K116" s="83" t="b">
        <v>0</v>
      </c>
      <c r="L116" s="78"/>
      <c r="M116" s="102"/>
    </row>
    <row r="117" spans="1:13" x14ac:dyDescent="0.3">
      <c r="A117" s="85">
        <v>191939</v>
      </c>
      <c r="B117" s="86" t="s">
        <v>78</v>
      </c>
      <c r="C117" s="87">
        <v>1591.92</v>
      </c>
      <c r="D117" s="88">
        <v>46067</v>
      </c>
      <c r="E117" s="86" t="s">
        <v>217</v>
      </c>
      <c r="F117" s="88"/>
      <c r="G117" s="93"/>
      <c r="H117" s="94"/>
      <c r="I117" s="95"/>
      <c r="J117" s="96" t="s">
        <v>81</v>
      </c>
      <c r="K117" s="91" t="b">
        <v>0</v>
      </c>
      <c r="L117" s="86"/>
      <c r="M117" s="97"/>
    </row>
    <row r="118" spans="1:13" x14ac:dyDescent="0.3">
      <c r="A118" s="77">
        <v>191597</v>
      </c>
      <c r="B118" s="78" t="s">
        <v>228</v>
      </c>
      <c r="C118" s="79">
        <v>2226.96</v>
      </c>
      <c r="D118" s="80">
        <v>46059</v>
      </c>
      <c r="E118" s="78" t="s">
        <v>217</v>
      </c>
      <c r="F118" s="78"/>
      <c r="G118" s="78"/>
      <c r="H118" s="78"/>
      <c r="I118" s="78"/>
      <c r="J118" s="78" t="s">
        <v>81</v>
      </c>
      <c r="K118" s="83" t="b">
        <v>0</v>
      </c>
      <c r="L118" s="78"/>
      <c r="M118" s="109"/>
    </row>
    <row r="119" spans="1:13" x14ac:dyDescent="0.3">
      <c r="A119" s="85">
        <v>191673</v>
      </c>
      <c r="B119" s="86" t="s">
        <v>49</v>
      </c>
      <c r="C119" s="87">
        <v>3194.2</v>
      </c>
      <c r="D119" s="88">
        <v>46060</v>
      </c>
      <c r="E119" s="86" t="s">
        <v>217</v>
      </c>
      <c r="F119" s="86"/>
      <c r="G119" s="86"/>
      <c r="H119" s="86"/>
      <c r="I119" s="86"/>
      <c r="J119" s="86" t="s">
        <v>81</v>
      </c>
      <c r="K119" s="91" t="b">
        <v>0</v>
      </c>
      <c r="L119" s="86"/>
      <c r="M119" s="110"/>
    </row>
    <row r="120" spans="1:13" x14ac:dyDescent="0.3">
      <c r="A120" s="77">
        <v>191835</v>
      </c>
      <c r="B120" s="78" t="s">
        <v>248</v>
      </c>
      <c r="C120" s="79">
        <v>1511.44</v>
      </c>
      <c r="D120" s="80">
        <v>46065</v>
      </c>
      <c r="E120" s="78" t="s">
        <v>217</v>
      </c>
      <c r="F120" s="78"/>
      <c r="G120" s="78"/>
      <c r="H120" s="78"/>
      <c r="I120" s="78"/>
      <c r="J120" s="78" t="s">
        <v>81</v>
      </c>
      <c r="K120" s="83" t="b">
        <v>0</v>
      </c>
      <c r="L120" s="78"/>
      <c r="M120" s="109"/>
    </row>
    <row r="121" spans="1:13" x14ac:dyDescent="0.3">
      <c r="A121" s="85">
        <v>191566</v>
      </c>
      <c r="B121" s="86" t="s">
        <v>249</v>
      </c>
      <c r="C121" s="87">
        <v>11839.88</v>
      </c>
      <c r="D121" s="88">
        <v>46064</v>
      </c>
      <c r="E121" s="86" t="s">
        <v>217</v>
      </c>
      <c r="F121" s="86"/>
      <c r="G121" s="86"/>
      <c r="H121" s="86"/>
      <c r="I121" s="86"/>
      <c r="J121" s="86" t="s">
        <v>81</v>
      </c>
      <c r="K121" s="91" t="b">
        <v>0</v>
      </c>
      <c r="L121" s="86"/>
      <c r="M121" s="110"/>
    </row>
    <row r="122" spans="1:13" x14ac:dyDescent="0.3">
      <c r="A122" s="77">
        <v>191553</v>
      </c>
      <c r="B122" s="78" t="s">
        <v>53</v>
      </c>
      <c r="C122" s="79">
        <v>3222</v>
      </c>
      <c r="D122" s="80">
        <v>46057</v>
      </c>
      <c r="E122" s="78" t="s">
        <v>217</v>
      </c>
      <c r="F122" s="78"/>
      <c r="G122" s="78"/>
      <c r="H122" s="78"/>
      <c r="I122" s="78"/>
      <c r="J122" s="78" t="s">
        <v>81</v>
      </c>
      <c r="K122" s="83" t="b">
        <v>0</v>
      </c>
      <c r="L122" s="78"/>
      <c r="M122" s="109"/>
    </row>
    <row r="123" spans="1:13" x14ac:dyDescent="0.3">
      <c r="A123" s="85">
        <v>191681</v>
      </c>
      <c r="B123" s="86" t="s">
        <v>53</v>
      </c>
      <c r="C123" s="87">
        <v>2860</v>
      </c>
      <c r="D123" s="88">
        <v>46060</v>
      </c>
      <c r="E123" s="86" t="s">
        <v>217</v>
      </c>
      <c r="F123" s="86"/>
      <c r="G123" s="86"/>
      <c r="H123" s="86"/>
      <c r="I123" s="86"/>
      <c r="J123" s="86" t="s">
        <v>81</v>
      </c>
      <c r="K123" s="91" t="b">
        <v>0</v>
      </c>
      <c r="L123" s="86"/>
      <c r="M123" s="110"/>
    </row>
    <row r="124" spans="1:13" x14ac:dyDescent="0.3">
      <c r="A124" s="77">
        <v>191594</v>
      </c>
      <c r="B124" s="78" t="s">
        <v>250</v>
      </c>
      <c r="C124" s="79">
        <v>2064</v>
      </c>
      <c r="D124" s="80">
        <v>46058</v>
      </c>
      <c r="E124" s="78" t="s">
        <v>217</v>
      </c>
      <c r="F124" s="78"/>
      <c r="G124" s="78"/>
      <c r="H124" s="78"/>
      <c r="I124" s="78"/>
      <c r="J124" s="78" t="s">
        <v>81</v>
      </c>
      <c r="K124" s="83" t="b">
        <v>0</v>
      </c>
      <c r="L124" s="78"/>
      <c r="M124" s="109"/>
    </row>
    <row r="125" spans="1:13" x14ac:dyDescent="0.3">
      <c r="A125" s="85">
        <v>191646</v>
      </c>
      <c r="B125" s="86" t="s">
        <v>124</v>
      </c>
      <c r="C125" s="87">
        <v>1594</v>
      </c>
      <c r="D125" s="88">
        <v>46059</v>
      </c>
      <c r="E125" s="86" t="s">
        <v>217</v>
      </c>
      <c r="F125" s="86"/>
      <c r="G125" s="86"/>
      <c r="H125" s="86"/>
      <c r="I125" s="86"/>
      <c r="J125" s="86" t="s">
        <v>81</v>
      </c>
      <c r="K125" s="91" t="b">
        <v>0</v>
      </c>
      <c r="L125" s="86"/>
      <c r="M125" s="110"/>
    </row>
    <row r="126" spans="1:13" x14ac:dyDescent="0.3">
      <c r="A126" s="77">
        <v>191644</v>
      </c>
      <c r="B126" s="78" t="s">
        <v>251</v>
      </c>
      <c r="C126" s="79">
        <v>4904</v>
      </c>
      <c r="D126" s="80">
        <v>46059</v>
      </c>
      <c r="E126" s="78" t="s">
        <v>217</v>
      </c>
      <c r="F126" s="78"/>
      <c r="G126" s="78"/>
      <c r="H126" s="78"/>
      <c r="I126" s="78"/>
      <c r="J126" s="78" t="s">
        <v>81</v>
      </c>
      <c r="K126" s="83" t="b">
        <v>0</v>
      </c>
      <c r="L126" s="78"/>
      <c r="M126" s="109"/>
    </row>
    <row r="127" spans="1:13" x14ac:dyDescent="0.3">
      <c r="A127" s="85">
        <v>191510</v>
      </c>
      <c r="B127" s="86" t="s">
        <v>86</v>
      </c>
      <c r="C127" s="87">
        <v>11616</v>
      </c>
      <c r="D127" s="88">
        <v>46056</v>
      </c>
      <c r="E127" s="86" t="s">
        <v>217</v>
      </c>
      <c r="F127" s="86"/>
      <c r="G127" s="86"/>
      <c r="H127" s="86"/>
      <c r="I127" s="86"/>
      <c r="J127" s="86" t="s">
        <v>81</v>
      </c>
      <c r="K127" s="91" t="b">
        <v>0</v>
      </c>
      <c r="L127" s="86"/>
      <c r="M127" s="110"/>
    </row>
    <row r="128" spans="1:13" x14ac:dyDescent="0.3">
      <c r="A128" s="77">
        <v>191952</v>
      </c>
      <c r="B128" s="78" t="s">
        <v>252</v>
      </c>
      <c r="C128" s="79">
        <v>3012</v>
      </c>
      <c r="D128" s="80">
        <v>46067</v>
      </c>
      <c r="E128" s="78" t="s">
        <v>217</v>
      </c>
      <c r="F128" s="78"/>
      <c r="G128" s="78"/>
      <c r="H128" s="78"/>
      <c r="I128" s="78"/>
      <c r="J128" s="78" t="s">
        <v>81</v>
      </c>
      <c r="K128" s="83" t="b">
        <v>0</v>
      </c>
      <c r="L128" s="78"/>
      <c r="M128" s="109"/>
    </row>
    <row r="129" spans="1:13" x14ac:dyDescent="0.3">
      <c r="A129" s="85">
        <v>191929</v>
      </c>
      <c r="B129" s="86" t="s">
        <v>252</v>
      </c>
      <c r="C129" s="87">
        <v>2370.7600000000002</v>
      </c>
      <c r="D129" s="88">
        <v>46066</v>
      </c>
      <c r="E129" s="86" t="s">
        <v>217</v>
      </c>
      <c r="F129" s="86"/>
      <c r="G129" s="86"/>
      <c r="H129" s="86"/>
      <c r="I129" s="86"/>
      <c r="J129" s="86" t="s">
        <v>81</v>
      </c>
      <c r="K129" s="91" t="b">
        <v>0</v>
      </c>
      <c r="L129" s="86"/>
      <c r="M129" s="110"/>
    </row>
    <row r="130" spans="1:13" x14ac:dyDescent="0.3">
      <c r="A130" s="77">
        <v>191550</v>
      </c>
      <c r="B130" s="78" t="s">
        <v>253</v>
      </c>
      <c r="C130" s="79">
        <v>2388</v>
      </c>
      <c r="D130" s="80">
        <v>46058</v>
      </c>
      <c r="E130" s="78" t="s">
        <v>217</v>
      </c>
      <c r="F130" s="78"/>
      <c r="G130" s="78"/>
      <c r="H130" s="78"/>
      <c r="I130" s="78"/>
      <c r="J130" s="78" t="s">
        <v>81</v>
      </c>
      <c r="K130" s="83" t="b">
        <v>0</v>
      </c>
      <c r="L130" s="78"/>
      <c r="M130" s="109"/>
    </row>
    <row r="131" spans="1:13" x14ac:dyDescent="0.3">
      <c r="A131" s="85">
        <v>191866</v>
      </c>
      <c r="B131" s="86" t="s">
        <v>253</v>
      </c>
      <c r="C131" s="87">
        <v>1770</v>
      </c>
      <c r="D131" s="88">
        <v>46066</v>
      </c>
      <c r="E131" s="86" t="s">
        <v>217</v>
      </c>
      <c r="F131" s="86"/>
      <c r="G131" s="86"/>
      <c r="H131" s="86"/>
      <c r="I131" s="86"/>
      <c r="J131" s="86" t="s">
        <v>81</v>
      </c>
      <c r="K131" s="91" t="b">
        <v>0</v>
      </c>
      <c r="L131" s="86"/>
      <c r="M131" s="110"/>
    </row>
    <row r="132" spans="1:13" x14ac:dyDescent="0.3">
      <c r="A132" s="77">
        <v>191603</v>
      </c>
      <c r="B132" s="78" t="s">
        <v>254</v>
      </c>
      <c r="C132" s="79">
        <v>2196.1</v>
      </c>
      <c r="D132" s="80">
        <v>46063</v>
      </c>
      <c r="E132" s="78" t="s">
        <v>217</v>
      </c>
      <c r="F132" s="78"/>
      <c r="G132" s="78"/>
      <c r="H132" s="78"/>
      <c r="I132" s="78"/>
      <c r="J132" s="78" t="s">
        <v>81</v>
      </c>
      <c r="K132" s="83" t="b">
        <v>0</v>
      </c>
      <c r="L132" s="78"/>
      <c r="M132" s="109"/>
    </row>
    <row r="133" spans="1:13" x14ac:dyDescent="0.3">
      <c r="A133" s="85">
        <v>191802</v>
      </c>
      <c r="B133" s="86" t="s">
        <v>101</v>
      </c>
      <c r="C133" s="87">
        <v>2233</v>
      </c>
      <c r="D133" s="88">
        <v>46064</v>
      </c>
      <c r="E133" s="86" t="s">
        <v>217</v>
      </c>
      <c r="F133" s="86"/>
      <c r="G133" s="86"/>
      <c r="H133" s="86"/>
      <c r="I133" s="86"/>
      <c r="J133" s="86" t="s">
        <v>81</v>
      </c>
      <c r="K133" s="91" t="b">
        <v>0</v>
      </c>
      <c r="L133" s="86"/>
      <c r="M133" s="110"/>
    </row>
    <row r="134" spans="1:13" x14ac:dyDescent="0.3">
      <c r="A134" s="77">
        <v>191548</v>
      </c>
      <c r="B134" s="78" t="s">
        <v>255</v>
      </c>
      <c r="C134" s="79">
        <v>1632</v>
      </c>
      <c r="D134" s="80">
        <v>46060</v>
      </c>
      <c r="E134" s="78" t="s">
        <v>217</v>
      </c>
      <c r="F134" s="78"/>
      <c r="G134" s="78"/>
      <c r="H134" s="78"/>
      <c r="I134" s="78"/>
      <c r="J134" s="78" t="s">
        <v>81</v>
      </c>
      <c r="K134" s="83" t="b">
        <v>0</v>
      </c>
      <c r="L134" s="78"/>
      <c r="M134" s="109"/>
    </row>
    <row r="135" spans="1:13" x14ac:dyDescent="0.3">
      <c r="A135" s="85">
        <v>191739</v>
      </c>
      <c r="B135" s="86" t="s">
        <v>256</v>
      </c>
      <c r="C135" s="87">
        <v>3566.55</v>
      </c>
      <c r="D135" s="88">
        <v>46064</v>
      </c>
      <c r="E135" s="86" t="s">
        <v>217</v>
      </c>
      <c r="F135" s="86"/>
      <c r="G135" s="86"/>
      <c r="H135" s="86"/>
      <c r="I135" s="86"/>
      <c r="J135" s="86" t="s">
        <v>81</v>
      </c>
      <c r="K135" s="91" t="b">
        <v>0</v>
      </c>
      <c r="L135" s="86"/>
      <c r="M135" s="110"/>
    </row>
    <row r="136" spans="1:13" x14ac:dyDescent="0.3">
      <c r="A136" s="77">
        <v>191696</v>
      </c>
      <c r="B136" s="78" t="s">
        <v>273</v>
      </c>
      <c r="C136" s="79">
        <v>1761.07</v>
      </c>
      <c r="D136" s="80">
        <v>46064</v>
      </c>
      <c r="E136" s="78" t="s">
        <v>217</v>
      </c>
      <c r="F136" s="78"/>
      <c r="G136" s="78"/>
      <c r="H136" s="78"/>
      <c r="I136" s="78"/>
      <c r="J136" s="78" t="s">
        <v>81</v>
      </c>
      <c r="K136" s="83" t="b">
        <v>0</v>
      </c>
      <c r="L136" s="78"/>
      <c r="M136" s="109"/>
    </row>
    <row r="137" spans="1:13" x14ac:dyDescent="0.3">
      <c r="A137" s="85">
        <v>191948</v>
      </c>
      <c r="B137" s="86" t="s">
        <v>257</v>
      </c>
      <c r="C137" s="87">
        <v>14600</v>
      </c>
      <c r="D137" s="88">
        <v>46067</v>
      </c>
      <c r="E137" s="86" t="s">
        <v>217</v>
      </c>
      <c r="F137" s="86"/>
      <c r="G137" s="86"/>
      <c r="H137" s="86"/>
      <c r="I137" s="86"/>
      <c r="J137" s="86" t="s">
        <v>81</v>
      </c>
      <c r="K137" s="91" t="b">
        <v>0</v>
      </c>
      <c r="L137" s="86"/>
      <c r="M137" s="110"/>
    </row>
    <row r="138" spans="1:13" x14ac:dyDescent="0.3">
      <c r="A138" s="77">
        <v>191595</v>
      </c>
      <c r="B138" s="78" t="s">
        <v>60</v>
      </c>
      <c r="C138" s="79">
        <v>1586.13</v>
      </c>
      <c r="D138" s="80">
        <v>46058</v>
      </c>
      <c r="E138" s="78" t="s">
        <v>217</v>
      </c>
      <c r="F138" s="78"/>
      <c r="G138" s="78"/>
      <c r="H138" s="78"/>
      <c r="I138" s="78"/>
      <c r="J138" s="78" t="s">
        <v>81</v>
      </c>
      <c r="K138" s="83" t="b">
        <v>0</v>
      </c>
      <c r="L138" s="78"/>
      <c r="M138" s="109"/>
    </row>
    <row r="139" spans="1:13" x14ac:dyDescent="0.3">
      <c r="A139" s="85">
        <v>191518</v>
      </c>
      <c r="B139" s="86" t="s">
        <v>258</v>
      </c>
      <c r="C139" s="87">
        <v>2821.33</v>
      </c>
      <c r="D139" s="88">
        <v>46064</v>
      </c>
      <c r="E139" s="86" t="s">
        <v>217</v>
      </c>
      <c r="F139" s="86"/>
      <c r="G139" s="86"/>
      <c r="H139" s="86"/>
      <c r="I139" s="86"/>
      <c r="J139" s="86" t="s">
        <v>81</v>
      </c>
      <c r="K139" s="91" t="b">
        <v>0</v>
      </c>
      <c r="L139" s="86"/>
      <c r="M139" s="110"/>
    </row>
    <row r="140" spans="1:13" x14ac:dyDescent="0.3">
      <c r="A140" s="77">
        <v>191963</v>
      </c>
      <c r="B140" s="78" t="s">
        <v>259</v>
      </c>
      <c r="C140" s="79">
        <v>2306</v>
      </c>
      <c r="D140" s="80">
        <v>46067</v>
      </c>
      <c r="E140" s="78" t="s">
        <v>217</v>
      </c>
      <c r="F140" s="78"/>
      <c r="G140" s="78"/>
      <c r="H140" s="78"/>
      <c r="I140" s="78"/>
      <c r="J140" s="78" t="s">
        <v>81</v>
      </c>
      <c r="K140" s="83" t="b">
        <v>0</v>
      </c>
      <c r="L140" s="78"/>
      <c r="M140" s="109"/>
    </row>
    <row r="141" spans="1:13" x14ac:dyDescent="0.3">
      <c r="A141" s="85">
        <v>191831</v>
      </c>
      <c r="B141" s="86" t="s">
        <v>260</v>
      </c>
      <c r="C141" s="87">
        <v>1780</v>
      </c>
      <c r="D141" s="88">
        <v>46065</v>
      </c>
      <c r="E141" s="86" t="s">
        <v>217</v>
      </c>
      <c r="F141" s="86"/>
      <c r="G141" s="86"/>
      <c r="H141" s="86"/>
      <c r="I141" s="86"/>
      <c r="J141" s="86" t="s">
        <v>81</v>
      </c>
      <c r="K141" s="91" t="b">
        <v>0</v>
      </c>
      <c r="L141" s="86"/>
      <c r="M141" s="110"/>
    </row>
    <row r="142" spans="1:13" x14ac:dyDescent="0.3">
      <c r="A142" s="77">
        <v>191556</v>
      </c>
      <c r="B142" s="78" t="s">
        <v>261</v>
      </c>
      <c r="C142" s="79">
        <v>1627</v>
      </c>
      <c r="D142" s="80">
        <v>46065</v>
      </c>
      <c r="E142" s="78" t="s">
        <v>217</v>
      </c>
      <c r="F142" s="78"/>
      <c r="G142" s="78"/>
      <c r="H142" s="78"/>
      <c r="I142" s="78"/>
      <c r="J142" s="78" t="s">
        <v>81</v>
      </c>
      <c r="K142" s="83" t="b">
        <v>0</v>
      </c>
      <c r="L142" s="78"/>
      <c r="M142" s="109"/>
    </row>
    <row r="143" spans="1:13" x14ac:dyDescent="0.3">
      <c r="A143" s="85">
        <v>191656</v>
      </c>
      <c r="B143" s="86" t="s">
        <v>238</v>
      </c>
      <c r="C143" s="87">
        <v>1737</v>
      </c>
      <c r="D143" s="88">
        <v>46059</v>
      </c>
      <c r="E143" s="86" t="s">
        <v>217</v>
      </c>
      <c r="F143" s="86"/>
      <c r="G143" s="86"/>
      <c r="H143" s="86"/>
      <c r="I143" s="86"/>
      <c r="J143" s="86" t="s">
        <v>81</v>
      </c>
      <c r="K143" s="91" t="b">
        <v>0</v>
      </c>
      <c r="L143" s="86"/>
      <c r="M143" s="110"/>
    </row>
    <row r="144" spans="1:13" x14ac:dyDescent="0.3">
      <c r="A144" s="77">
        <v>191860</v>
      </c>
      <c r="B144" s="78" t="s">
        <v>128</v>
      </c>
      <c r="C144" s="79">
        <v>2695</v>
      </c>
      <c r="D144" s="80">
        <v>46065</v>
      </c>
      <c r="E144" s="78" t="s">
        <v>217</v>
      </c>
      <c r="F144" s="78"/>
      <c r="G144" s="78"/>
      <c r="H144" s="78"/>
      <c r="I144" s="78"/>
      <c r="J144" s="78" t="s">
        <v>81</v>
      </c>
      <c r="K144" s="83" t="b">
        <v>0</v>
      </c>
      <c r="L144" s="78"/>
      <c r="M144" s="109"/>
    </row>
    <row r="145" spans="1:13" x14ac:dyDescent="0.3">
      <c r="A145" s="85">
        <v>191845</v>
      </c>
      <c r="B145" s="86" t="s">
        <v>262</v>
      </c>
      <c r="C145" s="87">
        <v>5009</v>
      </c>
      <c r="D145" s="88">
        <v>46066</v>
      </c>
      <c r="E145" s="86" t="s">
        <v>217</v>
      </c>
      <c r="F145" s="86"/>
      <c r="G145" s="86"/>
      <c r="H145" s="86"/>
      <c r="I145" s="86"/>
      <c r="J145" s="86" t="s">
        <v>81</v>
      </c>
      <c r="K145" s="91" t="b">
        <v>0</v>
      </c>
      <c r="L145" s="86"/>
      <c r="M145" s="110"/>
    </row>
    <row r="146" spans="1:13" x14ac:dyDescent="0.3">
      <c r="A146" s="77">
        <v>191511</v>
      </c>
      <c r="B146" s="78" t="s">
        <v>263</v>
      </c>
      <c r="C146" s="79">
        <v>2625</v>
      </c>
      <c r="D146" s="80">
        <v>46059</v>
      </c>
      <c r="E146" s="78" t="s">
        <v>217</v>
      </c>
      <c r="F146" s="78"/>
      <c r="G146" s="78"/>
      <c r="H146" s="78"/>
      <c r="I146" s="78"/>
      <c r="J146" s="78" t="s">
        <v>81</v>
      </c>
      <c r="K146" s="83" t="b">
        <v>0</v>
      </c>
      <c r="L146" s="78"/>
      <c r="M146" s="109"/>
    </row>
    <row r="147" spans="1:13" x14ac:dyDescent="0.3">
      <c r="A147" s="85">
        <v>191551</v>
      </c>
      <c r="B147" s="86" t="s">
        <v>264</v>
      </c>
      <c r="C147" s="87">
        <v>1608.48</v>
      </c>
      <c r="D147" s="88">
        <v>46058</v>
      </c>
      <c r="E147" s="86" t="s">
        <v>217</v>
      </c>
      <c r="F147" s="86"/>
      <c r="G147" s="86"/>
      <c r="H147" s="86"/>
      <c r="I147" s="86"/>
      <c r="J147" s="86" t="s">
        <v>81</v>
      </c>
      <c r="K147" s="91" t="b">
        <v>0</v>
      </c>
      <c r="L147" s="86"/>
      <c r="M147" s="110"/>
    </row>
    <row r="148" spans="1:13" x14ac:dyDescent="0.3">
      <c r="A148" s="77">
        <v>191675</v>
      </c>
      <c r="B148" s="78" t="s">
        <v>265</v>
      </c>
      <c r="C148" s="79">
        <v>2496</v>
      </c>
      <c r="D148" s="80">
        <v>46063</v>
      </c>
      <c r="E148" s="78" t="s">
        <v>217</v>
      </c>
      <c r="F148" s="78"/>
      <c r="G148" s="78"/>
      <c r="H148" s="78"/>
      <c r="I148" s="78"/>
      <c r="J148" s="78" t="s">
        <v>81</v>
      </c>
      <c r="K148" s="83" t="b">
        <v>0</v>
      </c>
      <c r="L148" s="78"/>
      <c r="M148" s="109"/>
    </row>
    <row r="149" spans="1:13" x14ac:dyDescent="0.3">
      <c r="A149" s="85">
        <v>191547</v>
      </c>
      <c r="B149" s="86" t="s">
        <v>266</v>
      </c>
      <c r="C149" s="87">
        <v>1959.95</v>
      </c>
      <c r="D149" s="88">
        <v>46057</v>
      </c>
      <c r="E149" s="86" t="s">
        <v>217</v>
      </c>
      <c r="F149" s="86"/>
      <c r="G149" s="86"/>
      <c r="H149" s="86"/>
      <c r="I149" s="86"/>
      <c r="J149" s="86" t="s">
        <v>81</v>
      </c>
      <c r="K149" s="91" t="b">
        <v>0</v>
      </c>
      <c r="L149" s="86"/>
      <c r="M149" s="110"/>
    </row>
    <row r="150" spans="1:13" x14ac:dyDescent="0.3">
      <c r="A150" s="77">
        <v>191837</v>
      </c>
      <c r="B150" s="78" t="s">
        <v>36</v>
      </c>
      <c r="C150" s="79">
        <v>4575.18</v>
      </c>
      <c r="D150" s="80">
        <v>46065</v>
      </c>
      <c r="E150" s="78" t="s">
        <v>217</v>
      </c>
      <c r="F150" s="78"/>
      <c r="G150" s="78"/>
      <c r="H150" s="78"/>
      <c r="I150" s="78"/>
      <c r="J150" s="78" t="s">
        <v>81</v>
      </c>
      <c r="K150" s="83" t="b">
        <v>0</v>
      </c>
      <c r="L150" s="78"/>
      <c r="M150" s="109"/>
    </row>
    <row r="151" spans="1:13" x14ac:dyDescent="0.3">
      <c r="A151" s="85">
        <v>191888</v>
      </c>
      <c r="B151" s="86" t="s">
        <v>36</v>
      </c>
      <c r="C151" s="87">
        <v>3526</v>
      </c>
      <c r="D151" s="88">
        <v>46066</v>
      </c>
      <c r="E151" s="86" t="s">
        <v>217</v>
      </c>
      <c r="F151" s="86"/>
      <c r="G151" s="86"/>
      <c r="H151" s="86"/>
      <c r="I151" s="86"/>
      <c r="J151" s="86" t="s">
        <v>81</v>
      </c>
      <c r="K151" s="91" t="b">
        <v>0</v>
      </c>
      <c r="L151" s="86"/>
      <c r="M151" s="110"/>
    </row>
    <row r="152" spans="1:13" x14ac:dyDescent="0.3">
      <c r="A152" s="77">
        <v>191906</v>
      </c>
      <c r="B152" s="78" t="s">
        <v>36</v>
      </c>
      <c r="C152" s="79">
        <v>1871.56</v>
      </c>
      <c r="D152" s="80">
        <v>46066</v>
      </c>
      <c r="E152" s="78" t="s">
        <v>217</v>
      </c>
      <c r="F152" s="78"/>
      <c r="G152" s="78"/>
      <c r="H152" s="78"/>
      <c r="I152" s="78"/>
      <c r="J152" s="78" t="s">
        <v>81</v>
      </c>
      <c r="K152" s="83" t="b">
        <v>0</v>
      </c>
      <c r="L152" s="78"/>
      <c r="M152" s="109"/>
    </row>
    <row r="153" spans="1:13" x14ac:dyDescent="0.3">
      <c r="A153" s="85">
        <v>191689</v>
      </c>
      <c r="B153" s="86" t="s">
        <v>70</v>
      </c>
      <c r="C153" s="87">
        <v>1820</v>
      </c>
      <c r="D153" s="88">
        <v>46060</v>
      </c>
      <c r="E153" s="86" t="s">
        <v>217</v>
      </c>
      <c r="F153" s="86"/>
      <c r="G153" s="86"/>
      <c r="H153" s="86"/>
      <c r="I153" s="86"/>
      <c r="J153" s="86" t="s">
        <v>81</v>
      </c>
      <c r="K153" s="91" t="b">
        <v>0</v>
      </c>
      <c r="L153" s="86"/>
      <c r="M153" s="110"/>
    </row>
    <row r="154" spans="1:13" x14ac:dyDescent="0.3">
      <c r="A154" s="77">
        <v>191960</v>
      </c>
      <c r="B154" s="78" t="s">
        <v>267</v>
      </c>
      <c r="C154" s="79">
        <v>5859.15</v>
      </c>
      <c r="D154" s="80">
        <v>46067</v>
      </c>
      <c r="E154" s="78" t="s">
        <v>217</v>
      </c>
      <c r="F154" s="78"/>
      <c r="G154" s="78"/>
      <c r="H154" s="78"/>
      <c r="I154" s="78"/>
      <c r="J154" s="78" t="s">
        <v>81</v>
      </c>
      <c r="K154" s="83" t="b">
        <v>0</v>
      </c>
      <c r="L154" s="78"/>
      <c r="M154" s="109"/>
    </row>
    <row r="155" spans="1:13" x14ac:dyDescent="0.3">
      <c r="A155" s="85">
        <v>191954</v>
      </c>
      <c r="B155" s="86" t="s">
        <v>267</v>
      </c>
      <c r="C155" s="87">
        <v>4662.67</v>
      </c>
      <c r="D155" s="88">
        <v>46067</v>
      </c>
      <c r="E155" s="86" t="s">
        <v>217</v>
      </c>
      <c r="F155" s="86"/>
      <c r="G155" s="86"/>
      <c r="H155" s="86"/>
      <c r="I155" s="86"/>
      <c r="J155" s="86" t="s">
        <v>81</v>
      </c>
      <c r="K155" s="91" t="b">
        <v>0</v>
      </c>
      <c r="L155" s="86"/>
      <c r="M155" s="110"/>
    </row>
    <row r="156" spans="1:13" x14ac:dyDescent="0.3">
      <c r="A156" s="77">
        <v>191546</v>
      </c>
      <c r="B156" s="78" t="s">
        <v>247</v>
      </c>
      <c r="C156" s="79">
        <v>10664.8</v>
      </c>
      <c r="D156" s="80">
        <v>46057</v>
      </c>
      <c r="E156" s="78" t="s">
        <v>217</v>
      </c>
      <c r="F156" s="78"/>
      <c r="G156" s="78"/>
      <c r="H156" s="78"/>
      <c r="I156" s="78"/>
      <c r="J156" s="78" t="s">
        <v>81</v>
      </c>
      <c r="K156" s="83" t="b">
        <v>0</v>
      </c>
      <c r="L156" s="78"/>
      <c r="M156" s="109"/>
    </row>
    <row r="157" spans="1:13" x14ac:dyDescent="0.3">
      <c r="A157" s="85">
        <v>191535</v>
      </c>
      <c r="B157" s="86" t="s">
        <v>247</v>
      </c>
      <c r="C157" s="87">
        <v>8416.43</v>
      </c>
      <c r="D157" s="88">
        <v>46058</v>
      </c>
      <c r="E157" s="86" t="s">
        <v>217</v>
      </c>
      <c r="F157" s="86"/>
      <c r="G157" s="86"/>
      <c r="H157" s="86"/>
      <c r="I157" s="86"/>
      <c r="J157" s="86" t="s">
        <v>81</v>
      </c>
      <c r="K157" s="91" t="b">
        <v>0</v>
      </c>
      <c r="L157" s="86"/>
      <c r="M157" s="110"/>
    </row>
    <row r="158" spans="1:13" x14ac:dyDescent="0.3">
      <c r="A158" s="77">
        <v>191519</v>
      </c>
      <c r="B158" s="78" t="s">
        <v>268</v>
      </c>
      <c r="C158" s="79">
        <v>2564.87</v>
      </c>
      <c r="D158" s="80">
        <v>46057</v>
      </c>
      <c r="E158" s="78" t="s">
        <v>217</v>
      </c>
      <c r="F158" s="78"/>
      <c r="G158" s="78"/>
      <c r="H158" s="78"/>
      <c r="I158" s="78"/>
      <c r="J158" s="78" t="s">
        <v>81</v>
      </c>
      <c r="K158" s="83" t="b">
        <v>0</v>
      </c>
      <c r="L158" s="78"/>
      <c r="M158" s="109"/>
    </row>
    <row r="159" spans="1:13" x14ac:dyDescent="0.3">
      <c r="A159" s="85">
        <v>191662</v>
      </c>
      <c r="B159" s="86" t="s">
        <v>269</v>
      </c>
      <c r="C159" s="87">
        <v>7115.3</v>
      </c>
      <c r="D159" s="88">
        <v>46066</v>
      </c>
      <c r="E159" s="86" t="s">
        <v>217</v>
      </c>
      <c r="F159" s="86"/>
      <c r="G159" s="86"/>
      <c r="H159" s="86"/>
      <c r="I159" s="86"/>
      <c r="J159" s="86" t="s">
        <v>81</v>
      </c>
      <c r="K159" s="91" t="b">
        <v>0</v>
      </c>
      <c r="L159" s="86"/>
      <c r="M159" s="110"/>
    </row>
    <row r="160" spans="1:13" x14ac:dyDescent="0.3">
      <c r="A160" s="77">
        <v>191636</v>
      </c>
      <c r="B160" s="78" t="s">
        <v>270</v>
      </c>
      <c r="C160" s="79">
        <v>1799</v>
      </c>
      <c r="D160" s="80">
        <v>46059</v>
      </c>
      <c r="E160" s="78" t="s">
        <v>217</v>
      </c>
      <c r="F160" s="78"/>
      <c r="G160" s="78"/>
      <c r="H160" s="78"/>
      <c r="I160" s="78"/>
      <c r="J160" s="78" t="s">
        <v>81</v>
      </c>
      <c r="K160" s="83" t="b">
        <v>0</v>
      </c>
      <c r="L160" s="78"/>
      <c r="M160" s="109"/>
    </row>
    <row r="161" spans="1:13" x14ac:dyDescent="0.3">
      <c r="A161" s="85">
        <v>191500</v>
      </c>
      <c r="B161" s="86" t="s">
        <v>242</v>
      </c>
      <c r="C161" s="87">
        <v>6047.28</v>
      </c>
      <c r="D161" s="88">
        <v>46056</v>
      </c>
      <c r="E161" s="86" t="s">
        <v>217</v>
      </c>
      <c r="F161" s="86"/>
      <c r="G161" s="86"/>
      <c r="H161" s="86"/>
      <c r="I161" s="86"/>
      <c r="J161" s="86" t="s">
        <v>81</v>
      </c>
      <c r="K161" s="91" t="b">
        <v>0</v>
      </c>
      <c r="L161" s="86"/>
      <c r="M161" s="110"/>
    </row>
    <row r="162" spans="1:13" x14ac:dyDescent="0.3">
      <c r="A162" s="77">
        <v>191583</v>
      </c>
      <c r="B162" s="78" t="s">
        <v>242</v>
      </c>
      <c r="C162" s="79">
        <v>1847</v>
      </c>
      <c r="D162" s="80">
        <v>46066</v>
      </c>
      <c r="E162" s="78" t="s">
        <v>217</v>
      </c>
      <c r="F162" s="78"/>
      <c r="G162" s="78"/>
      <c r="H162" s="78"/>
      <c r="I162" s="78"/>
      <c r="J162" s="78" t="s">
        <v>81</v>
      </c>
      <c r="K162" s="83" t="b">
        <v>0</v>
      </c>
      <c r="L162" s="78"/>
      <c r="M162" s="109"/>
    </row>
    <row r="163" spans="1:13" x14ac:dyDescent="0.3">
      <c r="A163" s="85">
        <v>191509</v>
      </c>
      <c r="B163" s="86" t="s">
        <v>271</v>
      </c>
      <c r="C163" s="87">
        <v>2436</v>
      </c>
      <c r="D163" s="88">
        <v>46057</v>
      </c>
      <c r="E163" s="86" t="s">
        <v>217</v>
      </c>
      <c r="F163" s="86"/>
      <c r="G163" s="86"/>
      <c r="H163" s="86"/>
      <c r="I163" s="86"/>
      <c r="J163" s="86" t="s">
        <v>81</v>
      </c>
      <c r="K163" s="91" t="b">
        <v>0</v>
      </c>
      <c r="L163" s="86"/>
      <c r="M163" s="110"/>
    </row>
    <row r="164" spans="1:13" x14ac:dyDescent="0.3">
      <c r="A164" s="77">
        <v>191687</v>
      </c>
      <c r="B164" s="78" t="s">
        <v>272</v>
      </c>
      <c r="C164" s="79">
        <v>8772.65</v>
      </c>
      <c r="D164" s="80">
        <v>46063</v>
      </c>
      <c r="E164" s="78" t="s">
        <v>217</v>
      </c>
      <c r="F164" s="78"/>
      <c r="G164" s="78"/>
      <c r="H164" s="78"/>
      <c r="I164" s="78"/>
      <c r="J164" s="78" t="s">
        <v>81</v>
      </c>
      <c r="K164" s="83" t="b">
        <v>0</v>
      </c>
      <c r="L164" s="78"/>
      <c r="M164" s="109"/>
    </row>
    <row r="165" spans="1:13" x14ac:dyDescent="0.3">
      <c r="A165" s="85">
        <v>191939</v>
      </c>
      <c r="B165" s="86" t="s">
        <v>78</v>
      </c>
      <c r="C165" s="87">
        <v>1591.92</v>
      </c>
      <c r="D165" s="88">
        <v>46067</v>
      </c>
      <c r="E165" s="86" t="s">
        <v>217</v>
      </c>
      <c r="F165" s="86"/>
      <c r="G165" s="86"/>
      <c r="H165" s="86"/>
      <c r="I165" s="86"/>
      <c r="J165" s="86" t="s">
        <v>81</v>
      </c>
      <c r="K165" s="91" t="b">
        <v>0</v>
      </c>
      <c r="L165" s="86"/>
      <c r="M165" s="110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"/>
  <sheetViews>
    <sheetView zoomScale="90" zoomScaleNormal="90" workbookViewId="0">
      <selection activeCell="J7" sqref="J7"/>
    </sheetView>
  </sheetViews>
  <sheetFormatPr defaultRowHeight="14.4" x14ac:dyDescent="0.3"/>
  <cols>
    <col min="1" max="1" width="16.33203125" bestFit="1" customWidth="1"/>
    <col min="2" max="2" width="52.6640625" bestFit="1" customWidth="1"/>
    <col min="3" max="3" width="17.109375" style="1" customWidth="1"/>
    <col min="4" max="4" width="18" style="21" bestFit="1" customWidth="1"/>
    <col min="5" max="5" width="11.5546875" bestFit="1" customWidth="1"/>
    <col min="6" max="6" width="19.33203125" style="21" bestFit="1" customWidth="1"/>
    <col min="7" max="7" width="16" bestFit="1" customWidth="1"/>
    <col min="8" max="8" width="17.33203125" style="6" bestFit="1" customWidth="1"/>
    <col min="9" max="9" width="17.6640625" style="2" bestFit="1" customWidth="1"/>
    <col min="10" max="10" width="12.44140625" style="19" bestFit="1" customWidth="1"/>
    <col min="11" max="11" width="20.33203125" bestFit="1" customWidth="1"/>
    <col min="12" max="12" width="47.33203125" customWidth="1"/>
    <col min="13" max="13" width="27.6640625" style="26" bestFit="1" customWidth="1"/>
  </cols>
  <sheetData>
    <row r="1" spans="1:13" x14ac:dyDescent="0.3">
      <c r="A1" s="35" t="s">
        <v>0</v>
      </c>
      <c r="B1" s="36" t="s">
        <v>13</v>
      </c>
      <c r="C1" s="59" t="s">
        <v>2</v>
      </c>
      <c r="D1" s="37" t="s">
        <v>14</v>
      </c>
      <c r="E1" s="36" t="s">
        <v>4</v>
      </c>
      <c r="F1" s="37" t="s">
        <v>5</v>
      </c>
      <c r="G1" s="36" t="s">
        <v>6</v>
      </c>
      <c r="H1" s="38" t="s">
        <v>7</v>
      </c>
      <c r="I1" s="39" t="s">
        <v>8</v>
      </c>
      <c r="J1" s="40" t="s">
        <v>9</v>
      </c>
      <c r="K1" s="36" t="s">
        <v>15</v>
      </c>
      <c r="L1" s="36" t="s">
        <v>11</v>
      </c>
      <c r="M1" s="41" t="s">
        <v>12</v>
      </c>
    </row>
    <row r="2" spans="1:13" x14ac:dyDescent="0.3">
      <c r="A2">
        <v>191846</v>
      </c>
      <c r="B2" t="s">
        <v>167</v>
      </c>
      <c r="C2">
        <v>2119.5</v>
      </c>
      <c r="D2" s="3">
        <v>46065</v>
      </c>
      <c r="E2" t="s">
        <v>274</v>
      </c>
      <c r="F2"/>
      <c r="H2"/>
      <c r="I2"/>
      <c r="J2" t="s">
        <v>21</v>
      </c>
      <c r="K2" s="20" t="b">
        <v>0</v>
      </c>
      <c r="M2"/>
    </row>
    <row r="3" spans="1:13" x14ac:dyDescent="0.3">
      <c r="A3">
        <v>191927</v>
      </c>
      <c r="B3" t="s">
        <v>275</v>
      </c>
      <c r="C3">
        <v>1950.28</v>
      </c>
      <c r="D3" s="3">
        <v>46066</v>
      </c>
      <c r="E3" t="s">
        <v>274</v>
      </c>
      <c r="F3" s="76">
        <v>46080</v>
      </c>
      <c r="G3" s="69" t="s">
        <v>276</v>
      </c>
      <c r="H3"/>
      <c r="I3"/>
      <c r="J3"/>
      <c r="K3" s="20" t="b">
        <v>0</v>
      </c>
      <c r="M3"/>
    </row>
    <row r="4" spans="1:13" x14ac:dyDescent="0.3">
      <c r="A4">
        <v>191471</v>
      </c>
      <c r="B4" t="s">
        <v>277</v>
      </c>
      <c r="C4">
        <v>3461.38</v>
      </c>
      <c r="D4" s="3">
        <v>46056</v>
      </c>
      <c r="E4" t="s">
        <v>274</v>
      </c>
      <c r="F4"/>
      <c r="H4"/>
      <c r="I4"/>
      <c r="J4" t="s">
        <v>21</v>
      </c>
      <c r="K4" s="20" t="b">
        <v>0</v>
      </c>
      <c r="M4"/>
    </row>
    <row r="5" spans="1:13" x14ac:dyDescent="0.3">
      <c r="A5">
        <v>191710</v>
      </c>
      <c r="B5" t="s">
        <v>112</v>
      </c>
      <c r="C5">
        <v>4421</v>
      </c>
      <c r="D5" s="3">
        <v>46062</v>
      </c>
      <c r="E5" t="s">
        <v>274</v>
      </c>
      <c r="F5" s="63"/>
      <c r="H5" s="64"/>
      <c r="I5" s="65"/>
      <c r="J5" s="66" t="s">
        <v>21</v>
      </c>
      <c r="K5" s="67" t="b">
        <v>0</v>
      </c>
      <c r="L5" s="68"/>
    </row>
    <row r="6" spans="1:13" x14ac:dyDescent="0.3">
      <c r="A6">
        <v>191711</v>
      </c>
      <c r="B6" t="s">
        <v>67</v>
      </c>
      <c r="C6">
        <v>2007.6</v>
      </c>
      <c r="D6" s="3">
        <v>46062</v>
      </c>
      <c r="E6" t="s">
        <v>274</v>
      </c>
      <c r="F6" s="63">
        <v>46080</v>
      </c>
      <c r="G6" s="69" t="s">
        <v>278</v>
      </c>
      <c r="H6" s="64"/>
      <c r="I6" s="65"/>
      <c r="J6" s="66"/>
      <c r="K6" s="67" t="b">
        <v>0</v>
      </c>
      <c r="L6" s="68"/>
    </row>
    <row r="7" spans="1:13" x14ac:dyDescent="0.3">
      <c r="A7">
        <v>191502</v>
      </c>
      <c r="B7" t="s">
        <v>78</v>
      </c>
      <c r="C7">
        <v>3492.86</v>
      </c>
      <c r="D7" s="3">
        <v>46056</v>
      </c>
      <c r="E7" t="s">
        <v>274</v>
      </c>
      <c r="F7" s="63"/>
      <c r="H7" s="64"/>
      <c r="I7" s="65"/>
      <c r="J7" s="66" t="s">
        <v>21</v>
      </c>
      <c r="K7" s="67" t="b">
        <v>0</v>
      </c>
      <c r="L7" s="68"/>
    </row>
    <row r="8" spans="1:13" x14ac:dyDescent="0.3">
      <c r="A8" s="45"/>
    </row>
    <row r="9" spans="1:13" x14ac:dyDescent="0.3">
      <c r="B9" s="16" t="s">
        <v>77</v>
      </c>
      <c r="C9" s="1">
        <f>SUM(Reid[Quote Amount])</f>
        <v>17452.62</v>
      </c>
    </row>
  </sheetData>
  <hyperlinks>
    <hyperlink ref="G3" r:id="rId1" display="Gabriela Quinde &lt;gquinde@kariout.com&gt;" xr:uid="{2A4B9F6B-87FB-46A8-A839-37B1260D943B}"/>
    <hyperlink ref="G6" r:id="rId2" xr:uid="{4DB95101-B0B8-48A3-B944-3B8D6FACC079}"/>
  </hyperlinks>
  <pageMargins left="0.75" right="0.75" top="1" bottom="1" header="0.5" footer="0.5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6A65-558B-4990-B93B-14FC80AB9C93}">
  <dimension ref="A1:H24"/>
  <sheetViews>
    <sheetView workbookViewId="0">
      <selection activeCell="L16" sqref="L16"/>
    </sheetView>
  </sheetViews>
  <sheetFormatPr defaultRowHeight="14.4" x14ac:dyDescent="0.3"/>
  <cols>
    <col min="1" max="1" width="21.44140625" bestFit="1" customWidth="1"/>
    <col min="2" max="2" width="23.33203125" bestFit="1" customWidth="1"/>
    <col min="3" max="3" width="18" bestFit="1" customWidth="1"/>
    <col min="4" max="4" width="19.5546875" bestFit="1" customWidth="1"/>
    <col min="5" max="5" width="16.6640625" bestFit="1" customWidth="1"/>
    <col min="6" max="6" width="23.88671875" bestFit="1" customWidth="1"/>
    <col min="7" max="7" width="30.44140625" bestFit="1" customWidth="1"/>
    <col min="8" max="8" width="18.88671875" bestFit="1" customWidth="1"/>
  </cols>
  <sheetData>
    <row r="1" spans="1:8" x14ac:dyDescent="0.3">
      <c r="A1" s="8" t="s">
        <v>279</v>
      </c>
      <c r="B1" s="8" t="s">
        <v>280</v>
      </c>
      <c r="C1" s="8" t="s">
        <v>281</v>
      </c>
      <c r="D1" s="8" t="s">
        <v>282</v>
      </c>
      <c r="E1" s="8" t="s">
        <v>283</v>
      </c>
      <c r="F1" s="9" t="s">
        <v>284</v>
      </c>
      <c r="G1" s="9" t="s">
        <v>285</v>
      </c>
      <c r="H1" s="8" t="s">
        <v>286</v>
      </c>
    </row>
    <row r="2" spans="1:8" x14ac:dyDescent="0.3">
      <c r="A2" t="s">
        <v>217</v>
      </c>
      <c r="B2">
        <f>COUNTA(LuWanna[Quote Number])</f>
        <v>67</v>
      </c>
      <c r="C2">
        <f>COUNTA(_xlfn.UNIQUE(LuWanna[Cust. Name]))</f>
        <v>33</v>
      </c>
      <c r="D2" s="1">
        <f>'LuWanna Morris'!C72</f>
        <v>791192.27000000014</v>
      </c>
      <c r="E2" s="1">
        <f>AVERAGE(LuWanna[Quote Amount])</f>
        <v>11890.868358208956</v>
      </c>
      <c r="F2" s="1">
        <f>SUMIF(LuWanna[Won/Lost], "Won", LuWanna[Actual Order $])</f>
        <v>1927.79</v>
      </c>
      <c r="G2" s="1">
        <f>SUMIFS(LuWanna[Actual Order $], LuWanna[Won/Lost],"Won", LuWanna[Won by Follow Up?], TRUE)</f>
        <v>1927.79</v>
      </c>
      <c r="H2" s="10">
        <f>COUNTA(LuWanna[Follow Up Date])</f>
        <v>0</v>
      </c>
    </row>
    <row r="3" spans="1:8" x14ac:dyDescent="0.3">
      <c r="A3" t="s">
        <v>79</v>
      </c>
      <c r="B3">
        <f>COUNTA(Brent[Quote Number])</f>
        <v>77</v>
      </c>
      <c r="C3">
        <f>COUNTA(_xlfn.UNIQUE(Brent[Cust. Name]))</f>
        <v>34</v>
      </c>
      <c r="D3" s="1">
        <f>'Brent Schrader'!C82</f>
        <v>699231.64000000013</v>
      </c>
      <c r="E3" s="1">
        <f>AVERAGE(Brent[Quote Amount])</f>
        <v>9080.930389610392</v>
      </c>
      <c r="F3" s="1">
        <f>SUMIF(Brent[Won/Lost], "Won", Brent[Actual Order $])</f>
        <v>124481</v>
      </c>
      <c r="G3" s="1">
        <f>SUMIFS(Brent[Actual Order $], Brent[Won/Lost],"Won", Brent[Won by Follow Up?], TRUE)</f>
        <v>27024</v>
      </c>
      <c r="H3" s="10">
        <f>COUNTA(Brent[Follow Up Date])</f>
        <v>77</v>
      </c>
    </row>
    <row r="4" spans="1:8" x14ac:dyDescent="0.3">
      <c r="A4" t="s">
        <v>274</v>
      </c>
      <c r="B4">
        <f>COUNTA(Reid[Quote Number])</f>
        <v>6</v>
      </c>
      <c r="C4">
        <f>COUNTA(_xlfn.UNIQUE('Reid Kincaid'!B2:B7))</f>
        <v>6</v>
      </c>
      <c r="D4" s="1">
        <f>'Reid Kincaid'!C9</f>
        <v>17452.62</v>
      </c>
      <c r="E4" s="1">
        <f>AVERAGE(Reid[Quote Amount])</f>
        <v>2908.77</v>
      </c>
      <c r="F4" s="1">
        <f>SUMIF(Reid[Won/Lost], "Won", Reid[Actual Order $])</f>
        <v>0</v>
      </c>
      <c r="G4" s="1">
        <f>SUMIFS(Reid[Actual Order $], Reid[Won/Lost],"Won", Reid[Won by Follow Up?], TRUE)</f>
        <v>0</v>
      </c>
      <c r="H4" s="10">
        <f>COUNTA(Reid[Follow Up Date])</f>
        <v>2</v>
      </c>
    </row>
    <row r="5" spans="1:8" x14ac:dyDescent="0.3">
      <c r="A5" t="s">
        <v>152</v>
      </c>
      <c r="B5">
        <f>COUNTA(Eric[Quote Number])</f>
        <v>47</v>
      </c>
      <c r="C5">
        <f>COUNTA(_xlfn.UNIQUE(Eric[Cust. Name]))</f>
        <v>22</v>
      </c>
      <c r="D5" s="1">
        <f>'Eric Simpson'!C51</f>
        <v>245899.48</v>
      </c>
      <c r="E5" s="1">
        <f>AVERAGE(Eric[Quote Amount])</f>
        <v>5231.9038297872339</v>
      </c>
      <c r="F5" s="1">
        <f>SUMIF(Eric[Won/Lost], "Won", Eric[Actual Order $])</f>
        <v>123358.93</v>
      </c>
      <c r="G5" s="1">
        <f>SUMIFS(Eric[Actual Order $], Eric[Won/Lost],"Won", Eric[Won by Follow Up?], TRUE)</f>
        <v>9533.02</v>
      </c>
      <c r="H5" s="10">
        <f>COUNTA(Eric[Follow Up Date])</f>
        <v>47</v>
      </c>
    </row>
    <row r="6" spans="1:8" x14ac:dyDescent="0.3">
      <c r="A6" t="s">
        <v>17</v>
      </c>
      <c r="B6">
        <f>COUNTA(Tami[Quote Number])</f>
        <v>16</v>
      </c>
      <c r="C6">
        <f>COUNTA(_xlfn.UNIQUE(Tami[Cust. Name]))</f>
        <v>16</v>
      </c>
      <c r="D6" s="1">
        <f>'Tami Knoell'!C21</f>
        <v>61102.200000000004</v>
      </c>
      <c r="E6" s="1">
        <f>AVERAGE(Tami[Quote Amount])</f>
        <v>3818.8875000000003</v>
      </c>
      <c r="F6" s="1">
        <f>SUMIF(Tami[Won/Lost], "Won", Tami[Actual Order $])</f>
        <v>31295.31</v>
      </c>
      <c r="G6" s="1">
        <f>SUMIFS(Tami[Actual Order $], Tami[Won/Lost],"Won", Tami[Won by Follow Up?], TRUE)</f>
        <v>0</v>
      </c>
      <c r="H6" s="10">
        <f>COUNTA(Tami[Follow Up Date])</f>
        <v>16</v>
      </c>
    </row>
    <row r="7" spans="1:8" x14ac:dyDescent="0.3">
      <c r="A7" s="11" t="s">
        <v>287</v>
      </c>
      <c r="B7" s="11">
        <f>SUBTOTAL(109,B2:B6)</f>
        <v>213</v>
      </c>
      <c r="C7" s="11">
        <f>SUBTOTAL(109,C2:C6)</f>
        <v>111</v>
      </c>
      <c r="D7" s="12">
        <f>SUBTOTAL(109,D2:D6)</f>
        <v>1814878.2100000002</v>
      </c>
      <c r="E7" s="12">
        <f>AVERAGE(E2:E6)</f>
        <v>6586.2720155213156</v>
      </c>
      <c r="F7" s="12">
        <f>SUM(F2:F6)</f>
        <v>281063.02999999997</v>
      </c>
      <c r="G7" s="12">
        <f>SUM(G2:G6)</f>
        <v>38484.81</v>
      </c>
      <c r="H7" s="13">
        <f>SUM(H2:H6)</f>
        <v>142</v>
      </c>
    </row>
    <row r="8" spans="1:8" x14ac:dyDescent="0.3">
      <c r="D8" s="1"/>
      <c r="E8" s="1"/>
      <c r="F8" s="1"/>
      <c r="G8" s="1"/>
    </row>
    <row r="9" spans="1:8" x14ac:dyDescent="0.3">
      <c r="F9" s="1"/>
      <c r="G9" s="1"/>
    </row>
    <row r="10" spans="1:8" x14ac:dyDescent="0.3">
      <c r="B10" s="11" t="s">
        <v>288</v>
      </c>
      <c r="C10">
        <f>COUNTIF('Master Allocation'!J2:J77, "Won")</f>
        <v>36</v>
      </c>
      <c r="F10" s="1"/>
      <c r="G10" s="1"/>
    </row>
    <row r="11" spans="1:8" x14ac:dyDescent="0.3">
      <c r="B11" s="11" t="s">
        <v>289</v>
      </c>
      <c r="C11" s="14">
        <f>_xlfn.PERCENTOF(C10,B7)</f>
        <v>0.16901408450704225</v>
      </c>
      <c r="F11" s="1"/>
      <c r="G11" s="1"/>
    </row>
    <row r="12" spans="1:8" x14ac:dyDescent="0.3">
      <c r="B12" s="11" t="s">
        <v>290</v>
      </c>
      <c r="C12" s="15">
        <f>F7</f>
        <v>281063.02999999997</v>
      </c>
      <c r="F12" s="1"/>
      <c r="G12" s="1"/>
    </row>
    <row r="13" spans="1:8" x14ac:dyDescent="0.3">
      <c r="B13" s="11" t="s">
        <v>291</v>
      </c>
      <c r="C13">
        <f>COUNTIFS('Master Allocation'!J:J, "Won", 'Master Allocation'!K:K, "TRUE")</f>
        <v>8</v>
      </c>
      <c r="F13" s="1"/>
      <c r="G13" s="1"/>
    </row>
    <row r="14" spans="1:8" x14ac:dyDescent="0.3">
      <c r="B14" s="11" t="s">
        <v>292</v>
      </c>
      <c r="C14" s="34">
        <f>_xlfn.PERCENTOF(C13,B7)</f>
        <v>3.7558685446009391E-2</v>
      </c>
      <c r="F14" s="1"/>
      <c r="G14" s="1"/>
    </row>
    <row r="15" spans="1:8" x14ac:dyDescent="0.3">
      <c r="B15" s="11" t="s">
        <v>293</v>
      </c>
      <c r="C15" s="15">
        <f>G7</f>
        <v>38484.81</v>
      </c>
      <c r="D15" s="34">
        <f>_xlfn.PERCENTOF(C15,D7)</f>
        <v>2.1205174974247992E-2</v>
      </c>
    </row>
    <row r="24" ht="16.5" customHeigh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Master Allocation</vt:lpstr>
      <vt:lpstr>Tami Knoell</vt:lpstr>
      <vt:lpstr>Brent Schrader</vt:lpstr>
      <vt:lpstr>Eric Simpson</vt:lpstr>
      <vt:lpstr>LuWanna Morris</vt:lpstr>
      <vt:lpstr>Reid Kincaid</vt:lpstr>
      <vt:lpstr>Summary</vt:lpstr>
      <vt:lpstr>_Hlk212526893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Brandon T. Hall</cp:lastModifiedBy>
  <cp:revision/>
  <dcterms:created xsi:type="dcterms:W3CDTF">2025-10-14T23:02:11Z</dcterms:created>
  <dcterms:modified xsi:type="dcterms:W3CDTF">2026-02-27T22:55:29Z</dcterms:modified>
  <cp:category/>
  <cp:contentStatus/>
</cp:coreProperties>
</file>